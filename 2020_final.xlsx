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OneDrive\Desktop\Data_Gender Gaps\Deliverables\"/>
    </mc:Choice>
  </mc:AlternateContent>
  <xr:revisionPtr revIDLastSave="0" documentId="13_ncr:1_{AA55C6F8-EB87-49DE-83E1-31A15D1D87AB}" xr6:coauthVersionLast="47" xr6:coauthVersionMax="47" xr10:uidLastSave="{00000000-0000-0000-0000-000000000000}"/>
  <bookViews>
    <workbookView xWindow="-110" yWindow="-110" windowWidth="29020" windowHeight="18700" activeTab="2" xr2:uid="{00000000-000D-0000-FFFF-FFFF00000000}"/>
  </bookViews>
  <sheets>
    <sheet name="Explanation" sheetId="2" r:id="rId1"/>
    <sheet name="1. Representation gap" sheetId="5" r:id="rId2"/>
    <sheet name="all" sheetId="7" r:id="rId3"/>
    <sheet name="2. Access gap" sheetId="6" r:id="rId4"/>
    <sheet name="3.Loan Size Gap" sheetId="3" r:id="rId5"/>
    <sheet name="4. Early Access Gap" sheetId="1" r:id="rId6"/>
    <sheet name="Summary_combined" sheetId="4" r:id="rId7"/>
  </sheets>
  <calcPr calcId="191029"/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<sst xmlns="http://schemas.openxmlformats.org/spreadsheetml/2006/main" count="1009" uniqueCount="269">
  <si>
    <t>state</t>
  </si>
  <si>
    <t>year</t>
  </si>
  <si>
    <t>ggi_early_access_gap</t>
  </si>
  <si>
    <t>female_rate</t>
  </si>
  <si>
    <t>male_rate</t>
  </si>
  <si>
    <t>female_total</t>
  </si>
  <si>
    <t>male_total</t>
  </si>
  <si>
    <t>interpretation</t>
  </si>
  <si>
    <t>gap_category</t>
  </si>
  <si>
    <t>severity</t>
  </si>
  <si>
    <t>AK</t>
  </si>
  <si>
    <t>Women were 9.52 percentage points LESS likely to get early loan approvals</t>
  </si>
  <si>
    <t>Women Disadvantaged</t>
  </si>
  <si>
    <t>Moderate gap</t>
  </si>
  <si>
    <t>AL</t>
  </si>
  <si>
    <t>Women were 15.5 percentage points LESS likely to get early loan approvals</t>
  </si>
  <si>
    <t>Large gap</t>
  </si>
  <si>
    <t>AR</t>
  </si>
  <si>
    <t>Women were 9.68 percentage points LESS likely to get early loan approvals</t>
  </si>
  <si>
    <t>AZ</t>
  </si>
  <si>
    <t>Women were 12.1 percentage points LESS likely to get early loan approvals</t>
  </si>
  <si>
    <t>CA</t>
  </si>
  <si>
    <t>Women were 8.27 percentage points LESS likely to get early loan approvals</t>
  </si>
  <si>
    <t>CO</t>
  </si>
  <si>
    <t>Women were 9.51 percentage points LESS likely to get early loan approvals</t>
  </si>
  <si>
    <t>CT</t>
  </si>
  <si>
    <t>Women were 10.34 percentage points LESS likely to get early loan approvals</t>
  </si>
  <si>
    <t>DC</t>
  </si>
  <si>
    <t>Women were 6.83 percentage points LESS likely to get early loan approvals</t>
  </si>
  <si>
    <t>DE</t>
  </si>
  <si>
    <t>Women were 13.09 percentage points LESS likely to get early loan approvals</t>
  </si>
  <si>
    <t>FL</t>
  </si>
  <si>
    <t>Women were 8.85 percentage points LESS likely to get early loan approvals</t>
  </si>
  <si>
    <t>GA</t>
  </si>
  <si>
    <t>Women were 15.17 percentage points LESS likely to get early loan approvals</t>
  </si>
  <si>
    <t>HI</t>
  </si>
  <si>
    <t>Women were 10.05 percentage points LESS likely to get early loan approvals</t>
  </si>
  <si>
    <t>IA</t>
  </si>
  <si>
    <t>Women were 4.98 percentage points LESS likely to get early loan approvals</t>
  </si>
  <si>
    <t>Small gap</t>
  </si>
  <si>
    <t>ID</t>
  </si>
  <si>
    <t>Women were 10.95 percentage points LESS likely to get early loan approvals</t>
  </si>
  <si>
    <t>IL</t>
  </si>
  <si>
    <t>Women were 11.72 percentage points LESS likely to get early loan approvals</t>
  </si>
  <si>
    <t>IN</t>
  </si>
  <si>
    <t>Women were 10.2 percentage points LESS likely to get early loan approvals</t>
  </si>
  <si>
    <t>KS</t>
  </si>
  <si>
    <t>Women were 7.63 percentage points LESS likely to get early loan approvals</t>
  </si>
  <si>
    <t>KY</t>
  </si>
  <si>
    <t>Women were 9.62 percentage points LESS likely to get early loan approvals</t>
  </si>
  <si>
    <t>LA</t>
  </si>
  <si>
    <t>Women were 11.1 percentage points LESS likely to get early loan approvals</t>
  </si>
  <si>
    <t>MA</t>
  </si>
  <si>
    <t>Women were 9.49 percentage points LESS likely to get early loan approvals</t>
  </si>
  <si>
    <t>MD</t>
  </si>
  <si>
    <t>Women were 11.32 percentage points LESS likely to get early loan approvals</t>
  </si>
  <si>
    <t>ME</t>
  </si>
  <si>
    <t>Women were 10.01 percentage points LESS likely to get early loan approvals</t>
  </si>
  <si>
    <t>MI</t>
  </si>
  <si>
    <t>Women were 8.61 percentage points LESS likely to get early loan approvals</t>
  </si>
  <si>
    <t>MN</t>
  </si>
  <si>
    <t>Women were 7.16 percentage points LESS likely to get early loan approvals</t>
  </si>
  <si>
    <t>MO</t>
  </si>
  <si>
    <t>Women were 8.71 percentage points LESS likely to get early loan approvals</t>
  </si>
  <si>
    <t>MS</t>
  </si>
  <si>
    <t>Women were 12.17 percentage points LESS likely to get early loan approvals</t>
  </si>
  <si>
    <t>MT</t>
  </si>
  <si>
    <t>Women were 7.73 percentage points LESS likely to get early loan approvals</t>
  </si>
  <si>
    <t>NC</t>
  </si>
  <si>
    <t>Women were 10.24 percentage points LESS likely to get early loan approvals</t>
  </si>
  <si>
    <t>ND</t>
  </si>
  <si>
    <t>Women were 0.79 percentage points LESS likely to get early loan approvals</t>
  </si>
  <si>
    <t>Minimal gap</t>
  </si>
  <si>
    <t>NE</t>
  </si>
  <si>
    <t>Women were 7.58 percentage points LESS likely to get early loan approvals</t>
  </si>
  <si>
    <t>NH</t>
  </si>
  <si>
    <t>Women were 11.2 percentage points LESS likely to get early loan approvals</t>
  </si>
  <si>
    <t>NJ</t>
  </si>
  <si>
    <t>Women were 9.11 percentage points LESS likely to get early loan approvals</t>
  </si>
  <si>
    <t>NM</t>
  </si>
  <si>
    <t>Women were 7.54 percentage points LESS likely to get early loan approvals</t>
  </si>
  <si>
    <t>NV</t>
  </si>
  <si>
    <t>Women were 9.25 percentage points LESS likely to get early loan approvals</t>
  </si>
  <si>
    <t>NY</t>
  </si>
  <si>
    <t>Women were 6.68 percentage points LESS likely to get early loan approvals</t>
  </si>
  <si>
    <t>OH</t>
  </si>
  <si>
    <t>Women were 10.46 percentage points LESS likely to get early loan approvals</t>
  </si>
  <si>
    <t>OK</t>
  </si>
  <si>
    <t>Women were 13.78 percentage points LESS likely to get early loan approvals</t>
  </si>
  <si>
    <t>OR</t>
  </si>
  <si>
    <t>Women were 9.45 percentage points LESS likely to get early loan approvals</t>
  </si>
  <si>
    <t>PA</t>
  </si>
  <si>
    <t>Women were 8.9 percentage points LESS likely to get early loan approvals</t>
  </si>
  <si>
    <t>RI</t>
  </si>
  <si>
    <t>Women were 10.1 percentage points LESS likely to get early loan approvals</t>
  </si>
  <si>
    <t>SC</t>
  </si>
  <si>
    <t>Women were 14.27 percentage points LESS likely to get early loan approvals</t>
  </si>
  <si>
    <t>SD</t>
  </si>
  <si>
    <t>Women were 3 percentage points LESS likely to get early loan approvals</t>
  </si>
  <si>
    <t>TN</t>
  </si>
  <si>
    <t>Women were 11.9 percentage points LESS likely to get early loan approvals</t>
  </si>
  <si>
    <t>TX</t>
  </si>
  <si>
    <t>Women were 11.04 percentage points LESS likely to get early loan approvals</t>
  </si>
  <si>
    <t>UT</t>
  </si>
  <si>
    <t>Women were 8.19 percentage points LESS likely to get early loan approvals</t>
  </si>
  <si>
    <t>VA</t>
  </si>
  <si>
    <t>Women were 10.43 percentage points LESS likely to get early loan approvals</t>
  </si>
  <si>
    <t>VT</t>
  </si>
  <si>
    <t>Women were 7.57 percentage points LESS likely to get early loan approvals</t>
  </si>
  <si>
    <t>WA</t>
  </si>
  <si>
    <t>WI</t>
  </si>
  <si>
    <t>Women were 12.8 percentage points LESS likely to get early loan approvals</t>
  </si>
  <si>
    <t>WV</t>
  </si>
  <si>
    <t>Women were 6.77 percentage points LESS likely to get early loan approvals</t>
  </si>
  <si>
    <t>WY</t>
  </si>
  <si>
    <t>Women were 9.56 percentage points LESS likely to get early loan approvals</t>
  </si>
  <si>
    <t>BorrowerState</t>
  </si>
  <si>
    <t>female</t>
  </si>
  <si>
    <t>male</t>
  </si>
  <si>
    <t>Loan_size_gap</t>
  </si>
  <si>
    <t>2020</t>
  </si>
  <si>
    <t>Females received 43.42% smaller loans on average</t>
  </si>
  <si>
    <t>Females received 72.7% smaller loans on average</t>
  </si>
  <si>
    <t>Females received 45.65% smaller loans on average</t>
  </si>
  <si>
    <t>Females received 52.56% smaller loans on average</t>
  </si>
  <si>
    <t>Females received 54.88% smaller loans on average</t>
  </si>
  <si>
    <t>Females received 60.1% smaller loans on average</t>
  </si>
  <si>
    <t>Females received 50.95% smaller loans on average</t>
  </si>
  <si>
    <t>Females received 33.65% smaller loans on average</t>
  </si>
  <si>
    <t>Females received 41.73% smaller loans on average</t>
  </si>
  <si>
    <t>Females received 55.74% smaller loans on average</t>
  </si>
  <si>
    <t>Females received 57.98% smaller loans on average</t>
  </si>
  <si>
    <t>Females received 64.15% smaller loans on average</t>
  </si>
  <si>
    <t>Females received 43.1% smaller loans on average</t>
  </si>
  <si>
    <t>Females received 58.27% smaller loans on average</t>
  </si>
  <si>
    <t>Females received 58.38% smaller loans on average</t>
  </si>
  <si>
    <t>Females received 55.72% smaller loans on average</t>
  </si>
  <si>
    <t>Females received 56.05% smaller loans on average</t>
  </si>
  <si>
    <t>Females received 53.75% smaller loans on average</t>
  </si>
  <si>
    <t>Females received 52.85% smaller loans on average</t>
  </si>
  <si>
    <t>Females received 51.2% smaller loans on average</t>
  </si>
  <si>
    <t>Females received 56.77% smaller loans on average</t>
  </si>
  <si>
    <t>Females received 38.12% smaller loans on average</t>
  </si>
  <si>
    <t>Females received 47.77% smaller loans on average</t>
  </si>
  <si>
    <t>Females received 45.3% smaller loans on average</t>
  </si>
  <si>
    <t>Females received 48.33% smaller loans on average</t>
  </si>
  <si>
    <t>Females received 60.9% smaller loans on average</t>
  </si>
  <si>
    <t>Females received 52% smaller loans on average</t>
  </si>
  <si>
    <t>Females received 49.44% smaller loans on average</t>
  </si>
  <si>
    <t>Females received 49.99% smaller loans on average</t>
  </si>
  <si>
    <t>Females received 60.44% smaller loans on average</t>
  </si>
  <si>
    <t>Females received 51.32% smaller loans on average</t>
  </si>
  <si>
    <t>Females received 46.81% smaller loans on average</t>
  </si>
  <si>
    <t>Females received 49.27% smaller loans on average</t>
  </si>
  <si>
    <t>Females received 68.97% smaller loans on average</t>
  </si>
  <si>
    <t>Females received 45.66% smaller loans on average</t>
  </si>
  <si>
    <t>Females received 54.31% smaller loans on average</t>
  </si>
  <si>
    <t>Females received 62.52% smaller loans on average</t>
  </si>
  <si>
    <t>Females received 54.26% smaller loans on average</t>
  </si>
  <si>
    <t>Females received 43.67% smaller loans on average</t>
  </si>
  <si>
    <t>Females received 62.28% smaller loans on average</t>
  </si>
  <si>
    <t>Females received 61.76% smaller loans on average</t>
  </si>
  <si>
    <t>Females received 60.8% smaller loans on average</t>
  </si>
  <si>
    <t>Females received 50.42% smaller loans on average</t>
  </si>
  <si>
    <t>Females received 62.82% smaller loans on average</t>
  </si>
  <si>
    <t>Females received 46.12% smaller loans on average</t>
  </si>
  <si>
    <t>Females received 42.45% smaller loans on average</t>
  </si>
  <si>
    <t>Females received 67.75% smaller loans on average</t>
  </si>
  <si>
    <t>Females received 66.62% smaller loans on average</t>
  </si>
  <si>
    <t>Females received 47.62% smaller loans on average</t>
  </si>
  <si>
    <t>Females received 59.58% smaller loans on average</t>
  </si>
  <si>
    <t>ggi_national</t>
  </si>
  <si>
    <t>Early Access Gap</t>
  </si>
  <si>
    <t>Gap change</t>
  </si>
  <si>
    <t>The timing gap improved for women from 2020 to 2021.</t>
  </si>
  <si>
    <t>Loan Size Gap</t>
  </si>
  <si>
    <t>avg_size_gap</t>
  </si>
  <si>
    <t>median_size_gap</t>
  </si>
  <si>
    <t>states_female_larger</t>
  </si>
  <si>
    <t>states_male_larger</t>
  </si>
  <si>
    <t>states_equal</t>
  </si>
  <si>
    <t>min_gap</t>
  </si>
  <si>
    <t>max_gap</t>
  </si>
  <si>
    <t>2021</t>
  </si>
  <si>
    <t>avg_female_rate</t>
  </si>
  <si>
    <t>avg_male_rate</t>
  </si>
  <si>
    <t>ggi_national is the difference of average of female rate and average of male rate for each year</t>
  </si>
  <si>
    <t>Females received 25.38% smaller loans on average</t>
  </si>
  <si>
    <t>Females received 26.77% smaller loans on average</t>
  </si>
  <si>
    <t>Females received 26.82% smaller loans on average</t>
  </si>
  <si>
    <t>Females received 31.5% smaller loans on average</t>
  </si>
  <si>
    <t>Females received 35.28% smaller loans on average</t>
  </si>
  <si>
    <t>Females received 65.11% smaller loans on average</t>
  </si>
  <si>
    <t>Females received 65.28% smaller loans on average</t>
  </si>
  <si>
    <t>Females received 65.75% smaller loans on average</t>
  </si>
  <si>
    <t>Females received 69.05% smaller loans on average</t>
  </si>
  <si>
    <t>Females received 71.59% smaller loans on average</t>
  </si>
  <si>
    <t>Best 5 states in 2020</t>
  </si>
  <si>
    <t>Best 5 states in 2021</t>
  </si>
  <si>
    <t>Worst 5 states in 2020</t>
  </si>
  <si>
    <t>Worst 5 states in 2021</t>
  </si>
  <si>
    <t>Variables</t>
  </si>
  <si>
    <t>Early loans to male-owned firms/total loans given to male-owned firms in state s at time t</t>
  </si>
  <si>
    <t>Early loans to female-owned firms/total loans given to female-owned firms in state s at time t</t>
  </si>
  <si>
    <t>total number of loans given to female-owned firms in state s at time t</t>
  </si>
  <si>
    <t>total number of loans given to male-owned firms in state s at time t</t>
  </si>
  <si>
    <t>female_rate-male_rate</t>
  </si>
  <si>
    <t>If ggi_early_access_gap == 0 ~ "Equal Access",</t>
  </si>
  <si>
    <t xml:space="preserve">      ggi_early_access_gap &lt; 0 ~ "Women Disadvantaged",</t>
  </si>
  <si>
    <t xml:space="preserve">      ggi_early_access_gap &gt; 0 ~ "Women Advantaged"</t>
  </si>
  <si>
    <t>If  abs(ggi_early_access_gap) &lt; 0.02 ~ "Minimal gap",</t>
  </si>
  <si>
    <t xml:space="preserve">      abs(ggi_early_access_gap) &lt; 0.05 ~ "Small gap",</t>
  </si>
  <si>
    <t xml:space="preserve">      abs(ggi_early_access_gap) &lt; 0.10 ~ "Moderate gap",</t>
  </si>
  <si>
    <t xml:space="preserve">      abs(ggi_early_access_gap) &gt;= 0.10 ~ "Large gap"</t>
  </si>
  <si>
    <t>avg_female_loan_amount</t>
  </si>
  <si>
    <t>average of current approval loan amount for female-owned firms in state s</t>
  </si>
  <si>
    <t>avg_male_loan_amount</t>
  </si>
  <si>
    <t>average of current approval loan amount for male-owned firms in state s</t>
  </si>
  <si>
    <t>ln(avg_female_loan_amount/avg_male_loan_amount)</t>
  </si>
  <si>
    <t>Representation Gap</t>
  </si>
  <si>
    <t>StateCode</t>
  </si>
  <si>
    <t>census_female_ratio</t>
  </si>
  <si>
    <t>Year</t>
  </si>
  <si>
    <t>ppp_female_ratio</t>
  </si>
  <si>
    <t>representation_gap</t>
  </si>
  <si>
    <t>interpretation_short</t>
  </si>
  <si>
    <t>Female-owned firms were underrepresented among PPP loan recipients relative to their share of firms</t>
  </si>
  <si>
    <t>Underrepresented</t>
  </si>
  <si>
    <t>total number of female-owned firms in state 𝑠/total number of firms in state s at time t</t>
  </si>
  <si>
    <t>number of PPP loans to female-owned firms in state s at time t/ total  number of PPP loans in state s at time t</t>
  </si>
  <si>
    <t xml:space="preserve">ppp_female_ratio-census_female_ratio </t>
  </si>
  <si>
    <t>Access Gap</t>
  </si>
  <si>
    <t>mean_gap</t>
  </si>
  <si>
    <t>median_gap</t>
  </si>
  <si>
    <t>sd_gap</t>
  </si>
  <si>
    <t>var_gap</t>
  </si>
  <si>
    <t>range_gap</t>
  </si>
  <si>
    <t>n_states</t>
  </si>
  <si>
    <t>n_missing</t>
  </si>
  <si>
    <t>n_proportional</t>
  </si>
  <si>
    <t>n_underrepresented</t>
  </si>
  <si>
    <t>n_overrepresented</t>
  </si>
  <si>
    <t>ppp_female</t>
  </si>
  <si>
    <t>ppp_male</t>
  </si>
  <si>
    <t>census_female</t>
  </si>
  <si>
    <t>census_male</t>
  </si>
  <si>
    <t>female_participation_rate</t>
  </si>
  <si>
    <t>male_participation_rate</t>
  </si>
  <si>
    <t>access_gap</t>
  </si>
  <si>
    <t>Female-owned firms had lower access to PPP loans than male-owned firms</t>
  </si>
  <si>
    <t>Female lower access</t>
  </si>
  <si>
    <t>female_participation_gap - male_particpation_gap</t>
  </si>
  <si>
    <t>ppp_female/census_female</t>
  </si>
  <si>
    <t>ppp_male/census_male</t>
  </si>
  <si>
    <t>number of PPP loans to female-owned firms in in state s at time t</t>
  </si>
  <si>
    <t>number of PPP loans to male-owned firms in in state s at time t</t>
  </si>
  <si>
    <t>number of female-owned firms in in state s</t>
  </si>
  <si>
    <t>number of male-owned firms in in state s</t>
  </si>
  <si>
    <t>mean_ag</t>
  </si>
  <si>
    <t>median_ag</t>
  </si>
  <si>
    <t>sd_ag</t>
  </si>
  <si>
    <t>var_ag</t>
  </si>
  <si>
    <t>min_ag</t>
  </si>
  <si>
    <t>max_ag</t>
  </si>
  <si>
    <t>range_ag</t>
  </si>
  <si>
    <t>n_female_higher</t>
  </si>
  <si>
    <t>n_female_lower</t>
  </si>
  <si>
    <t>n_equal</t>
  </si>
  <si>
    <t>n_total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</si>
</sst>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6" fillId="2" borderId="0" xfId="1" applyFont="1"/>
    <xf numFmtId="0" fontId="6" fillId="2" borderId="1" xfId="1" applyFont="1" applyBorder="1"/>
    <xf numFmtId="0" fontId="2" fillId="2" borderId="2" xfId="1" applyBorder="1"/>
    <xf numFmtId="0" fontId="2" fillId="2" borderId="3" xfId="1" applyBorder="1"/>
    <xf numFmtId="0" fontId="2" fillId="2" borderId="4" xfId="1" applyBorder="1"/>
    <xf numFmtId="0" fontId="2" fillId="2" borderId="1" xfId="1" applyBorder="1"/>
    <xf numFmtId="0" fontId="2" fillId="2" borderId="5" xfId="1" applyBorder="1"/>
    <xf numFmtId="0" fontId="2" fillId="2" borderId="6" xfId="1" applyBorder="1"/>
    <xf numFmtId="0" fontId="2" fillId="2" borderId="7" xfId="1" applyBorder="1"/>
    <xf numFmtId="0" fontId="6" fillId="2" borderId="1" xfId="1" applyFont="1" applyBorder="1" applyAlignment="1">
      <alignment horizontal="center"/>
    </xf>
    <xf numFmtId="0" fontId="6" fillId="2" borderId="2" xfId="1" applyFont="1" applyBorder="1"/>
    <xf numFmtId="0" fontId="2" fillId="2" borderId="8" xfId="1" applyBorder="1"/>
    <xf numFmtId="0" fontId="2" fillId="2" borderId="9" xfId="1" applyBorder="1"/>
    <xf numFmtId="0" fontId="2" fillId="2" borderId="10" xfId="1" applyBorder="1"/>
    <xf numFmtId="0" fontId="6" fillId="2" borderId="11" xfId="1" applyFont="1" applyBorder="1" applyAlignment="1">
      <alignment horizontal="center"/>
    </xf>
    <xf numFmtId="0" fontId="2" fillId="2" borderId="0" xfId="1" applyBorder="1"/>
    <xf numFmtId="0" fontId="2" fillId="2" borderId="12" xfId="1" applyBorder="1"/>
    <xf numFmtId="0" fontId="6" fillId="2" borderId="13" xfId="1" applyFont="1" applyBorder="1" applyAlignment="1">
      <alignment horizontal="center"/>
    </xf>
    <xf numFmtId="0" fontId="6" fillId="2" borderId="14" xfId="1" applyFont="1" applyBorder="1" applyAlignment="1">
      <alignment horizontal="center"/>
    </xf>
    <xf numFmtId="0" fontId="6" fillId="2" borderId="8" xfId="1" applyFont="1" applyBorder="1" applyAlignment="1">
      <alignment horizontal="center"/>
    </xf>
    <xf numFmtId="0" fontId="2" fillId="2" borderId="15" xfId="1" applyBorder="1"/>
    <xf numFmtId="0" fontId="7" fillId="4" borderId="0" xfId="3" applyFont="1"/>
    <xf numFmtId="0" fontId="7" fillId="4" borderId="7" xfId="3" applyFont="1" applyBorder="1"/>
    <xf numFmtId="0" fontId="5" fillId="4" borderId="2" xfId="3" applyBorder="1"/>
    <xf numFmtId="0" fontId="5" fillId="4" borderId="3" xfId="3" applyBorder="1"/>
    <xf numFmtId="0" fontId="5" fillId="4" borderId="15" xfId="3" applyBorder="1"/>
    <xf numFmtId="0" fontId="5" fillId="4" borderId="0" xfId="3" applyBorder="1"/>
    <xf numFmtId="0" fontId="5" fillId="4" borderId="7" xfId="3" applyBorder="1"/>
    <xf numFmtId="0" fontId="5" fillId="4" borderId="9" xfId="3" applyBorder="1"/>
    <xf numFmtId="0" fontId="4" fillId="3" borderId="0" xfId="2"/>
    <xf numFmtId="0" fontId="8" fillId="3" borderId="0" xfId="2" applyFont="1"/>
    <xf numFmtId="0" fontId="6" fillId="7" borderId="0" xfId="1" applyFont="1" applyFill="1"/>
    <xf numFmtId="0" fontId="0" fillId="7" borderId="0" xfId="0" applyFill="1"/>
    <xf numFmtId="0" fontId="1" fillId="7" borderId="0" xfId="0" applyFont="1" applyFill="1" applyAlignment="1">
      <alignment horizontal="center"/>
    </xf>
    <xf numFmtId="0" fontId="2" fillId="7" borderId="0" xfId="1" applyFill="1"/>
    <xf numFmtId="0" fontId="6" fillId="8" borderId="0" xfId="1" applyFont="1" applyFill="1"/>
    <xf numFmtId="0" fontId="0" fillId="8" borderId="0" xfId="0" applyFill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8" fillId="0" borderId="0" xfId="2" applyFont="1" applyFill="1"/>
    <xf numFmtId="0" fontId="0" fillId="9" borderId="0" xfId="0" applyFill="1"/>
    <xf numFmtId="0" fontId="1" fillId="9" borderId="0" xfId="0" applyFont="1" applyFill="1" applyAlignment="1">
      <alignment horizontal="center"/>
    </xf>
    <xf numFmtId="0" fontId="6" fillId="9" borderId="0" xfId="1" applyFont="1" applyFill="1"/>
    <xf numFmtId="0" fontId="3" fillId="5" borderId="0" xfId="4" applyAlignment="1">
      <alignment horizontal="center"/>
    </xf>
    <xf numFmtId="0" fontId="3" fillId="5" borderId="0" xfId="4"/>
    <xf numFmtId="0" fontId="1" fillId="5" borderId="0" xfId="4" applyFont="1" applyAlignment="1">
      <alignment horizontal="center"/>
    </xf>
    <xf numFmtId="0" fontId="1" fillId="5" borderId="0" xfId="4" applyFont="1"/>
    <xf numFmtId="0" fontId="3" fillId="6" borderId="0" xfId="5"/>
    <xf numFmtId="0" fontId="3" fillId="6" borderId="0" xfId="5" applyAlignment="1">
      <alignment horizontal="center"/>
    </xf>
    <xf numFmtId="0" fontId="1" fillId="6" borderId="0" xfId="5" applyFont="1"/>
    <xf numFmtId="0" fontId="1" fillId="6" borderId="0" xfId="5" applyFont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/>
  </cellXfs>
  <cellStyles count="6">
    <cellStyle name="20% - Accent1" xfId="4" builtinId="30"/>
    <cellStyle name="20% - Accent4" xfId="5" builtinId="42"/>
    <cellStyle name="Bad" xfId="3" builtinId="27"/>
    <cellStyle name="Good" xfId="2" builtinId="26"/>
    <cellStyle name="Neutral" xfId="1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03A6CFAF-B522-4337-B92B-FF15798E5E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28FA-0CA5-4267-A9C0-71E3B3BCD7BF}">
  <dimension ref="C5:N48"/>
  <sheetViews>
    <sheetView topLeftCell="A2" workbookViewId="0">
      <selection activeCell="A30" sqref="A30"/>
    </sheetView>
  </sheetViews>
  <sheetFormatPr defaultRowHeight="14.5" x14ac:dyDescent="0.35"/>
  <cols>
    <col min="3" max="3" width="30.81640625" customWidth="1"/>
  </cols>
  <sheetData>
    <row r="5" spans="3:14" x14ac:dyDescent="0.35">
      <c r="F5" s="2" t="s">
        <v>172</v>
      </c>
      <c r="G5" s="2"/>
    </row>
    <row r="6" spans="3:14" x14ac:dyDescent="0.35">
      <c r="C6" s="3" t="s">
        <v>201</v>
      </c>
      <c r="D6" s="4"/>
      <c r="E6" s="5"/>
      <c r="F6" s="5"/>
      <c r="G6" s="5"/>
      <c r="H6" s="5"/>
      <c r="I6" s="5"/>
      <c r="J6" s="5"/>
      <c r="K6" s="5"/>
      <c r="L6" s="5"/>
      <c r="M6" s="5"/>
      <c r="N6" s="6"/>
    </row>
    <row r="7" spans="3:14" x14ac:dyDescent="0.35">
      <c r="C7" s="3" t="s">
        <v>4</v>
      </c>
      <c r="D7" s="7" t="s">
        <v>202</v>
      </c>
      <c r="E7" s="8"/>
      <c r="F7" s="8"/>
      <c r="G7" s="8"/>
      <c r="H7" s="8"/>
      <c r="I7" s="8"/>
      <c r="J7" s="8"/>
      <c r="K7" s="8"/>
      <c r="L7" s="8"/>
      <c r="M7" s="8"/>
      <c r="N7" s="9"/>
    </row>
    <row r="8" spans="3:14" x14ac:dyDescent="0.35">
      <c r="C8" s="3" t="s">
        <v>3</v>
      </c>
      <c r="D8" s="10" t="s">
        <v>203</v>
      </c>
      <c r="E8" s="8"/>
      <c r="F8" s="8"/>
      <c r="G8" s="8"/>
      <c r="H8" s="8"/>
      <c r="I8" s="8"/>
      <c r="J8" s="8"/>
      <c r="K8" s="8"/>
      <c r="L8" s="8"/>
      <c r="M8" s="8"/>
      <c r="N8" s="9"/>
    </row>
    <row r="9" spans="3:14" x14ac:dyDescent="0.35">
      <c r="C9" s="11" t="s">
        <v>5</v>
      </c>
      <c r="D9" s="7" t="s">
        <v>204</v>
      </c>
      <c r="E9" s="8"/>
      <c r="F9" s="8"/>
      <c r="G9" s="8"/>
      <c r="H9" s="8"/>
      <c r="I9" s="8"/>
      <c r="J9" s="8"/>
      <c r="K9" s="8"/>
      <c r="L9" s="8"/>
      <c r="M9" s="8"/>
      <c r="N9" s="9"/>
    </row>
    <row r="10" spans="3:14" x14ac:dyDescent="0.35">
      <c r="C10" s="11" t="s">
        <v>6</v>
      </c>
      <c r="D10" s="7" t="s">
        <v>205</v>
      </c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3:14" x14ac:dyDescent="0.35">
      <c r="C11" s="12" t="s">
        <v>2</v>
      </c>
      <c r="D11" s="13" t="s">
        <v>206</v>
      </c>
      <c r="E11" s="14"/>
      <c r="F11" s="14"/>
      <c r="G11" s="14"/>
      <c r="H11" s="14"/>
      <c r="I11" s="14"/>
      <c r="J11" s="14"/>
      <c r="K11" s="14"/>
      <c r="L11" s="14"/>
      <c r="M11" s="14"/>
      <c r="N11" s="15"/>
    </row>
    <row r="12" spans="3:14" x14ac:dyDescent="0.35">
      <c r="C12" s="16" t="s">
        <v>8</v>
      </c>
      <c r="D12" s="17" t="s">
        <v>207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</row>
    <row r="13" spans="3:14" x14ac:dyDescent="0.35">
      <c r="C13" s="19"/>
      <c r="D13" s="17" t="s">
        <v>208</v>
      </c>
      <c r="E13" s="17"/>
      <c r="F13" s="17"/>
      <c r="G13" s="17"/>
      <c r="H13" s="17"/>
      <c r="I13" s="17"/>
      <c r="J13" s="17"/>
      <c r="K13" s="17"/>
      <c r="L13" s="17"/>
      <c r="M13" s="17"/>
      <c r="N13" s="18"/>
    </row>
    <row r="14" spans="3:14" x14ac:dyDescent="0.35">
      <c r="C14" s="20"/>
      <c r="D14" s="17" t="s">
        <v>209</v>
      </c>
      <c r="E14" s="17"/>
      <c r="F14" s="17"/>
      <c r="G14" s="17"/>
      <c r="H14" s="17"/>
      <c r="I14" s="17"/>
      <c r="J14" s="17"/>
      <c r="K14" s="17"/>
      <c r="L14" s="17"/>
      <c r="M14" s="17"/>
      <c r="N14" s="18"/>
    </row>
    <row r="15" spans="3:14" x14ac:dyDescent="0.35">
      <c r="C15" s="21" t="s">
        <v>9</v>
      </c>
      <c r="D15" s="4" t="s">
        <v>210</v>
      </c>
      <c r="E15" s="5"/>
      <c r="F15" s="5"/>
      <c r="G15" s="5"/>
      <c r="H15" s="5"/>
      <c r="I15" s="5"/>
      <c r="J15" s="5"/>
      <c r="K15" s="5"/>
      <c r="L15" s="5"/>
      <c r="M15" s="5"/>
      <c r="N15" s="6"/>
    </row>
    <row r="16" spans="3:14" x14ac:dyDescent="0.35">
      <c r="D16" s="22" t="s">
        <v>211</v>
      </c>
      <c r="E16" s="17"/>
      <c r="F16" s="17"/>
      <c r="G16" s="17"/>
      <c r="H16" s="17"/>
      <c r="I16" s="17"/>
      <c r="J16" s="17"/>
      <c r="K16" s="17"/>
      <c r="L16" s="17"/>
      <c r="M16" s="17"/>
      <c r="N16" s="18"/>
    </row>
    <row r="17" spans="3:14" x14ac:dyDescent="0.35">
      <c r="D17" s="22" t="s">
        <v>212</v>
      </c>
      <c r="E17" s="17"/>
      <c r="F17" s="17"/>
      <c r="G17" s="17"/>
      <c r="H17" s="17"/>
      <c r="I17" s="17"/>
      <c r="J17" s="17"/>
      <c r="K17" s="17"/>
      <c r="L17" s="17"/>
      <c r="M17" s="17"/>
      <c r="N17" s="18"/>
    </row>
    <row r="18" spans="3:14" x14ac:dyDescent="0.35">
      <c r="D18" s="13" t="s">
        <v>213</v>
      </c>
      <c r="E18" s="14"/>
      <c r="F18" s="14"/>
      <c r="G18" s="14"/>
      <c r="H18" s="14"/>
      <c r="I18" s="14"/>
      <c r="J18" s="14"/>
      <c r="K18" s="14"/>
      <c r="L18" s="14"/>
      <c r="M18" s="14"/>
      <c r="N18" s="15"/>
    </row>
    <row r="24" spans="3:14" x14ac:dyDescent="0.35">
      <c r="D24" s="1"/>
      <c r="E24" s="1"/>
      <c r="F24" s="1"/>
      <c r="L24" s="1"/>
    </row>
    <row r="26" spans="3:14" x14ac:dyDescent="0.35">
      <c r="F26" s="23" t="s">
        <v>175</v>
      </c>
      <c r="G26" s="23"/>
    </row>
    <row r="27" spans="3:14" x14ac:dyDescent="0.35">
      <c r="C27" s="24" t="s">
        <v>214</v>
      </c>
      <c r="D27" s="25" t="s">
        <v>215</v>
      </c>
      <c r="E27" s="26"/>
      <c r="F27" s="26"/>
      <c r="G27" s="26"/>
      <c r="H27" s="26"/>
      <c r="I27" s="26"/>
      <c r="J27" s="26"/>
      <c r="K27" s="26"/>
      <c r="L27" s="26"/>
      <c r="M27" s="26"/>
    </row>
    <row r="28" spans="3:14" x14ac:dyDescent="0.35">
      <c r="C28" s="24" t="s">
        <v>216</v>
      </c>
      <c r="D28" s="27" t="s">
        <v>217</v>
      </c>
      <c r="E28" s="28"/>
      <c r="F28" s="28"/>
      <c r="G28" s="28"/>
      <c r="H28" s="28"/>
      <c r="I28" s="28"/>
      <c r="J28" s="28"/>
      <c r="K28" s="28"/>
      <c r="L28" s="28"/>
      <c r="M28" s="28"/>
    </row>
    <row r="29" spans="3:14" x14ac:dyDescent="0.35">
      <c r="C29" s="24" t="s">
        <v>175</v>
      </c>
      <c r="D29" s="29" t="s">
        <v>218</v>
      </c>
      <c r="E29" s="30"/>
      <c r="F29" s="30"/>
      <c r="G29" s="30"/>
      <c r="H29" s="30"/>
      <c r="I29" s="30"/>
      <c r="J29" s="30"/>
      <c r="K29" s="30"/>
      <c r="L29" s="30"/>
      <c r="M29" s="30"/>
    </row>
    <row r="33" spans="3:13" x14ac:dyDescent="0.35">
      <c r="F33" s="41"/>
      <c r="G33" s="41"/>
    </row>
    <row r="35" spans="3:13" x14ac:dyDescent="0.35">
      <c r="F35" s="32" t="s">
        <v>219</v>
      </c>
      <c r="G35" s="31"/>
    </row>
    <row r="36" spans="3:13" x14ac:dyDescent="0.35">
      <c r="C36" s="32" t="s">
        <v>221</v>
      </c>
      <c r="D36" s="31" t="s">
        <v>228</v>
      </c>
      <c r="E36" s="31"/>
      <c r="F36" s="31"/>
      <c r="G36" s="31"/>
      <c r="H36" s="31"/>
      <c r="I36" s="31"/>
      <c r="J36" s="31"/>
      <c r="K36" s="31"/>
      <c r="L36" s="31"/>
      <c r="M36" s="31"/>
    </row>
    <row r="37" spans="3:13" x14ac:dyDescent="0.35">
      <c r="C37" s="32" t="s">
        <v>223</v>
      </c>
      <c r="D37" s="31" t="s">
        <v>229</v>
      </c>
      <c r="E37" s="31"/>
      <c r="F37" s="31"/>
      <c r="G37" s="31"/>
      <c r="H37" s="31"/>
      <c r="I37" s="31"/>
      <c r="J37" s="31"/>
      <c r="K37" s="31"/>
      <c r="L37" s="31"/>
      <c r="M37" s="31"/>
    </row>
    <row r="38" spans="3:13" x14ac:dyDescent="0.35">
      <c r="C38" s="32" t="s">
        <v>224</v>
      </c>
      <c r="D38" s="31" t="s">
        <v>230</v>
      </c>
      <c r="E38" s="31"/>
      <c r="F38" s="31"/>
      <c r="G38" s="31"/>
      <c r="H38" s="31"/>
      <c r="I38" s="31"/>
      <c r="J38" s="31"/>
      <c r="K38" s="31"/>
      <c r="L38" s="31"/>
      <c r="M38" s="31"/>
    </row>
    <row r="41" spans="3:13" x14ac:dyDescent="0.35">
      <c r="F41" s="48" t="s">
        <v>231</v>
      </c>
      <c r="G41" s="46"/>
    </row>
    <row r="42" spans="3:13" x14ac:dyDescent="0.35">
      <c r="C42" s="47" t="s">
        <v>242</v>
      </c>
      <c r="D42" s="46" t="s">
        <v>254</v>
      </c>
      <c r="E42" s="45"/>
      <c r="F42" s="45"/>
      <c r="G42" s="45"/>
      <c r="H42" s="45"/>
      <c r="I42" s="45"/>
      <c r="J42" s="46"/>
      <c r="K42" s="46"/>
      <c r="L42" s="46"/>
      <c r="M42" s="46"/>
    </row>
    <row r="43" spans="3:13" x14ac:dyDescent="0.35">
      <c r="C43" s="48" t="s">
        <v>243</v>
      </c>
      <c r="D43" s="46" t="s">
        <v>255</v>
      </c>
      <c r="E43" s="46"/>
      <c r="F43" s="46"/>
      <c r="G43" s="46"/>
      <c r="H43" s="46"/>
      <c r="I43" s="46"/>
      <c r="J43" s="46"/>
      <c r="K43" s="46"/>
      <c r="L43" s="46"/>
      <c r="M43" s="46"/>
    </row>
    <row r="44" spans="3:13" x14ac:dyDescent="0.35">
      <c r="C44" s="48" t="s">
        <v>244</v>
      </c>
      <c r="D44" s="46" t="s">
        <v>256</v>
      </c>
      <c r="E44" s="46"/>
      <c r="F44" s="46"/>
      <c r="G44" s="46"/>
      <c r="H44" s="46"/>
      <c r="I44" s="46"/>
      <c r="J44" s="46"/>
      <c r="K44" s="46"/>
      <c r="L44" s="46"/>
      <c r="M44" s="46"/>
    </row>
    <row r="45" spans="3:13" x14ac:dyDescent="0.35">
      <c r="C45" s="48" t="s">
        <v>245</v>
      </c>
      <c r="D45" s="46" t="s">
        <v>257</v>
      </c>
      <c r="E45" s="46"/>
      <c r="F45" s="46"/>
      <c r="G45" s="46"/>
      <c r="H45" s="46"/>
      <c r="I45" s="46"/>
      <c r="J45" s="46"/>
      <c r="K45" s="46"/>
      <c r="L45" s="46"/>
      <c r="M45" s="46"/>
    </row>
    <row r="46" spans="3:13" x14ac:dyDescent="0.35">
      <c r="C46" s="48" t="s">
        <v>246</v>
      </c>
      <c r="D46" s="46" t="s">
        <v>252</v>
      </c>
      <c r="E46" s="46"/>
      <c r="F46" s="46"/>
      <c r="G46" s="46"/>
      <c r="H46" s="46"/>
      <c r="I46" s="46"/>
      <c r="J46" s="46"/>
      <c r="K46" s="46"/>
      <c r="L46" s="46"/>
      <c r="M46" s="46"/>
    </row>
    <row r="47" spans="3:13" x14ac:dyDescent="0.35">
      <c r="C47" s="48" t="s">
        <v>247</v>
      </c>
      <c r="D47" s="46" t="s">
        <v>253</v>
      </c>
      <c r="E47" s="46"/>
      <c r="F47" s="46"/>
      <c r="G47" s="46"/>
      <c r="H47" s="46"/>
      <c r="I47" s="46"/>
      <c r="J47" s="46"/>
      <c r="K47" s="46"/>
      <c r="L47" s="46"/>
      <c r="M47" s="46"/>
    </row>
    <row r="48" spans="3:13" x14ac:dyDescent="0.35">
      <c r="C48" s="48" t="s">
        <v>248</v>
      </c>
      <c r="D48" s="46" t="s">
        <v>251</v>
      </c>
      <c r="E48" s="46"/>
      <c r="F48" s="46"/>
      <c r="G48" s="46"/>
      <c r="H48" s="46"/>
      <c r="I48" s="46"/>
      <c r="J48" s="46"/>
      <c r="K48" s="46"/>
      <c r="L48" s="46"/>
      <c r="M4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D61A-B8DC-410E-98C9-A72577C65994}">
  <dimension ref="A1:G52"/>
  <sheetViews>
    <sheetView workbookViewId="0">
      <selection activeCell="E1" sqref="E1:E1048576"/>
    </sheetView>
  </sheetViews>
  <sheetFormatPr defaultColWidth="25.6328125" defaultRowHeight="14.5" x14ac:dyDescent="0.35"/>
  <cols>
    <col min="1" max="1" width="17.6328125" customWidth="1"/>
    <col min="5" max="5" width="30.36328125" customWidth="1"/>
    <col min="6" max="6" width="30.08984375" customWidth="1"/>
    <col min="7" max="7" width="32.26953125" customWidth="1"/>
  </cols>
  <sheetData>
    <row r="1" spans="1:7" s="1" customFormat="1" x14ac:dyDescent="0.35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7</v>
      </c>
      <c r="G1" s="1" t="s">
        <v>225</v>
      </c>
    </row>
    <row r="2" spans="1:7" x14ac:dyDescent="0.35">
      <c r="A2" t="s">
        <v>10</v>
      </c>
      <c r="B2">
        <v>0.41038669555323493</v>
      </c>
      <c r="C2" t="s">
        <v>120</v>
      </c>
      <c r="D2">
        <v>0.28493961054966732</v>
      </c>
      <c r="E2">
        <v>-0.12544708500356769</v>
      </c>
      <c r="F2" t="s">
        <v>226</v>
      </c>
      <c r="G2" t="s">
        <v>227</v>
      </c>
    </row>
    <row r="3" spans="1:7" x14ac:dyDescent="0.35">
      <c r="A3" t="s">
        <v>14</v>
      </c>
      <c r="B3">
        <v>0.41912872751380092</v>
      </c>
      <c r="C3" t="s">
        <v>120</v>
      </c>
      <c r="D3">
        <v>0.25881898880741028</v>
      </c>
      <c r="E3">
        <v>-0.16030973870639059</v>
      </c>
      <c r="F3" t="s">
        <v>226</v>
      </c>
      <c r="G3" t="s">
        <v>227</v>
      </c>
    </row>
    <row r="4" spans="1:7" x14ac:dyDescent="0.35">
      <c r="A4" t="s">
        <v>17</v>
      </c>
      <c r="B4">
        <v>0.40078197789142628</v>
      </c>
      <c r="C4" t="s">
        <v>120</v>
      </c>
      <c r="D4">
        <v>0.25334957369062122</v>
      </c>
      <c r="E4">
        <v>-0.14743240420080519</v>
      </c>
      <c r="F4" t="s">
        <v>226</v>
      </c>
      <c r="G4" t="s">
        <v>227</v>
      </c>
    </row>
    <row r="5" spans="1:7" x14ac:dyDescent="0.35">
      <c r="A5" t="s">
        <v>19</v>
      </c>
      <c r="B5">
        <v>0.42395684082362989</v>
      </c>
      <c r="C5" t="s">
        <v>120</v>
      </c>
      <c r="D5">
        <v>0.26967888604717249</v>
      </c>
      <c r="E5">
        <v>-0.15427795477645739</v>
      </c>
      <c r="F5" t="s">
        <v>226</v>
      </c>
      <c r="G5" t="s">
        <v>227</v>
      </c>
    </row>
    <row r="6" spans="1:7" x14ac:dyDescent="0.35">
      <c r="A6" t="s">
        <v>21</v>
      </c>
      <c r="B6">
        <v>0.40548779047458072</v>
      </c>
      <c r="C6" t="s">
        <v>120</v>
      </c>
      <c r="D6">
        <v>0.26685058156874442</v>
      </c>
      <c r="E6">
        <v>-0.13863720890583631</v>
      </c>
      <c r="F6" t="s">
        <v>226</v>
      </c>
      <c r="G6" t="s">
        <v>227</v>
      </c>
    </row>
    <row r="7" spans="1:7" x14ac:dyDescent="0.35">
      <c r="A7" t="s">
        <v>23</v>
      </c>
      <c r="B7">
        <v>0.41904818700367652</v>
      </c>
      <c r="C7" t="s">
        <v>120</v>
      </c>
      <c r="D7">
        <v>0.28506154419992541</v>
      </c>
      <c r="E7">
        <v>-0.13398664280375111</v>
      </c>
      <c r="F7" t="s">
        <v>226</v>
      </c>
      <c r="G7" t="s">
        <v>227</v>
      </c>
    </row>
    <row r="8" spans="1:7" x14ac:dyDescent="0.35">
      <c r="A8" t="s">
        <v>25</v>
      </c>
      <c r="B8">
        <v>0.37908693275013672</v>
      </c>
      <c r="C8" t="s">
        <v>120</v>
      </c>
      <c r="D8">
        <v>0.25998105966206447</v>
      </c>
      <c r="E8">
        <v>-0.1191058730880722</v>
      </c>
      <c r="F8" t="s">
        <v>226</v>
      </c>
      <c r="G8" t="s">
        <v>227</v>
      </c>
    </row>
    <row r="9" spans="1:7" x14ac:dyDescent="0.35">
      <c r="A9" t="s">
        <v>27</v>
      </c>
      <c r="B9">
        <v>0.46164817990076318</v>
      </c>
      <c r="C9" t="s">
        <v>120</v>
      </c>
      <c r="D9">
        <v>0.31537320810677211</v>
      </c>
      <c r="E9">
        <v>-0.1462749717939911</v>
      </c>
      <c r="F9" t="s">
        <v>226</v>
      </c>
      <c r="G9" t="s">
        <v>227</v>
      </c>
    </row>
    <row r="10" spans="1:7" x14ac:dyDescent="0.35">
      <c r="A10" t="s">
        <v>29</v>
      </c>
      <c r="B10">
        <v>0.38521825754029693</v>
      </c>
      <c r="C10" t="s">
        <v>120</v>
      </c>
      <c r="D10">
        <v>0.26368385191914612</v>
      </c>
      <c r="E10">
        <v>-0.12153440562115091</v>
      </c>
      <c r="F10" t="s">
        <v>226</v>
      </c>
      <c r="G10" t="s">
        <v>227</v>
      </c>
    </row>
    <row r="11" spans="1:7" x14ac:dyDescent="0.35">
      <c r="A11" t="s">
        <v>31</v>
      </c>
      <c r="B11">
        <v>0.42912700095895251</v>
      </c>
      <c r="C11" t="s">
        <v>120</v>
      </c>
      <c r="D11">
        <v>0.28462926213241929</v>
      </c>
      <c r="E11">
        <v>-0.14449773882653319</v>
      </c>
      <c r="F11" t="s">
        <v>226</v>
      </c>
      <c r="G11" t="s">
        <v>227</v>
      </c>
    </row>
    <row r="12" spans="1:7" x14ac:dyDescent="0.35">
      <c r="A12" t="s">
        <v>33</v>
      </c>
      <c r="B12">
        <v>0.44586097495642862</v>
      </c>
      <c r="C12" t="s">
        <v>120</v>
      </c>
      <c r="D12">
        <v>0.29121664095091149</v>
      </c>
      <c r="E12">
        <v>-0.15464433400551711</v>
      </c>
      <c r="F12" t="s">
        <v>226</v>
      </c>
      <c r="G12" t="s">
        <v>227</v>
      </c>
    </row>
    <row r="13" spans="1:7" x14ac:dyDescent="0.35">
      <c r="A13" t="s">
        <v>35</v>
      </c>
      <c r="B13">
        <v>0.44354588630836772</v>
      </c>
      <c r="C13" t="s">
        <v>120</v>
      </c>
      <c r="D13">
        <v>0.3190074795203609</v>
      </c>
      <c r="E13">
        <v>-0.1245384067880068</v>
      </c>
      <c r="F13" t="s">
        <v>226</v>
      </c>
      <c r="G13" t="s">
        <v>227</v>
      </c>
    </row>
    <row r="14" spans="1:7" x14ac:dyDescent="0.35">
      <c r="A14" t="s">
        <v>37</v>
      </c>
      <c r="B14">
        <v>0.38995379402402708</v>
      </c>
      <c r="C14" t="s">
        <v>120</v>
      </c>
      <c r="D14">
        <v>0.21325611325611329</v>
      </c>
      <c r="E14">
        <v>-0.17669768076791389</v>
      </c>
      <c r="F14" t="s">
        <v>226</v>
      </c>
      <c r="G14" t="s">
        <v>227</v>
      </c>
    </row>
    <row r="15" spans="1:7" x14ac:dyDescent="0.35">
      <c r="A15" t="s">
        <v>40</v>
      </c>
      <c r="B15">
        <v>0.40489401309073442</v>
      </c>
      <c r="C15" t="s">
        <v>120</v>
      </c>
      <c r="D15">
        <v>0.23539934757445019</v>
      </c>
      <c r="E15">
        <v>-0.16949466551628431</v>
      </c>
      <c r="F15" t="s">
        <v>226</v>
      </c>
      <c r="G15" t="s">
        <v>227</v>
      </c>
    </row>
    <row r="16" spans="1:7" x14ac:dyDescent="0.35">
      <c r="A16" t="s">
        <v>42</v>
      </c>
      <c r="B16">
        <v>0.39860449075292692</v>
      </c>
      <c r="C16" t="s">
        <v>120</v>
      </c>
      <c r="D16">
        <v>0.26568922069346562</v>
      </c>
      <c r="E16">
        <v>-0.13291527005946141</v>
      </c>
      <c r="F16" t="s">
        <v>226</v>
      </c>
      <c r="G16" t="s">
        <v>227</v>
      </c>
    </row>
    <row r="17" spans="1:7" x14ac:dyDescent="0.35">
      <c r="A17" t="s">
        <v>44</v>
      </c>
      <c r="B17">
        <v>0.39896754862007339</v>
      </c>
      <c r="C17" t="s">
        <v>120</v>
      </c>
      <c r="D17">
        <v>0.2489783408255006</v>
      </c>
      <c r="E17">
        <v>-0.14998920779457281</v>
      </c>
      <c r="F17" t="s">
        <v>226</v>
      </c>
      <c r="G17" t="s">
        <v>227</v>
      </c>
    </row>
    <row r="18" spans="1:7" x14ac:dyDescent="0.35">
      <c r="A18" t="s">
        <v>46</v>
      </c>
      <c r="B18">
        <v>0.39577837554524631</v>
      </c>
      <c r="C18" t="s">
        <v>120</v>
      </c>
      <c r="D18">
        <v>0.24450274862568719</v>
      </c>
      <c r="E18">
        <v>-0.15127562691955909</v>
      </c>
      <c r="F18" t="s">
        <v>226</v>
      </c>
      <c r="G18" t="s">
        <v>227</v>
      </c>
    </row>
    <row r="19" spans="1:7" x14ac:dyDescent="0.35">
      <c r="A19" t="s">
        <v>48</v>
      </c>
      <c r="B19">
        <v>0.39130630212188322</v>
      </c>
      <c r="C19" t="s">
        <v>120</v>
      </c>
      <c r="D19">
        <v>0.23029915027354211</v>
      </c>
      <c r="E19">
        <v>-0.16100715184834111</v>
      </c>
      <c r="F19" t="s">
        <v>226</v>
      </c>
      <c r="G19" t="s">
        <v>227</v>
      </c>
    </row>
    <row r="20" spans="1:7" x14ac:dyDescent="0.35">
      <c r="A20" t="s">
        <v>50</v>
      </c>
      <c r="B20">
        <v>0.43221365213134488</v>
      </c>
      <c r="C20" t="s">
        <v>120</v>
      </c>
      <c r="D20">
        <v>0.23558760333588261</v>
      </c>
      <c r="E20">
        <v>-0.1966260487954623</v>
      </c>
      <c r="F20" t="s">
        <v>226</v>
      </c>
      <c r="G20" t="s">
        <v>227</v>
      </c>
    </row>
    <row r="21" spans="1:7" x14ac:dyDescent="0.35">
      <c r="A21" t="s">
        <v>52</v>
      </c>
      <c r="B21">
        <v>0.37932273198829408</v>
      </c>
      <c r="C21" t="s">
        <v>120</v>
      </c>
      <c r="D21">
        <v>0.25193096214360639</v>
      </c>
      <c r="E21">
        <v>-0.12739176984468781</v>
      </c>
      <c r="F21" t="s">
        <v>226</v>
      </c>
      <c r="G21" t="s">
        <v>227</v>
      </c>
    </row>
    <row r="22" spans="1:7" x14ac:dyDescent="0.35">
      <c r="A22" t="s">
        <v>54</v>
      </c>
      <c r="B22">
        <v>0.4267821405227657</v>
      </c>
      <c r="C22" t="s">
        <v>120</v>
      </c>
      <c r="D22">
        <v>0.28774712556445192</v>
      </c>
      <c r="E22">
        <v>-0.1390350149583138</v>
      </c>
      <c r="F22" t="s">
        <v>226</v>
      </c>
      <c r="G22" t="s">
        <v>227</v>
      </c>
    </row>
    <row r="23" spans="1:7" x14ac:dyDescent="0.35">
      <c r="A23" t="s">
        <v>56</v>
      </c>
      <c r="B23">
        <v>0.37186527072915199</v>
      </c>
      <c r="C23" t="s">
        <v>120</v>
      </c>
      <c r="D23">
        <v>0.26776022192739107</v>
      </c>
      <c r="E23">
        <v>-0.1041050488017609</v>
      </c>
      <c r="F23" t="s">
        <v>226</v>
      </c>
      <c r="G23" t="s">
        <v>227</v>
      </c>
    </row>
    <row r="24" spans="1:7" x14ac:dyDescent="0.35">
      <c r="A24" t="s">
        <v>58</v>
      </c>
      <c r="B24">
        <v>0.41242863970212351</v>
      </c>
      <c r="C24" t="s">
        <v>120</v>
      </c>
      <c r="D24">
        <v>0.241957694652008</v>
      </c>
      <c r="E24">
        <v>-0.17047094505011551</v>
      </c>
      <c r="F24" t="s">
        <v>226</v>
      </c>
      <c r="G24" t="s">
        <v>227</v>
      </c>
    </row>
    <row r="25" spans="1:7" x14ac:dyDescent="0.35">
      <c r="A25" t="s">
        <v>60</v>
      </c>
      <c r="B25">
        <v>0.38142026567628412</v>
      </c>
      <c r="C25" t="s">
        <v>120</v>
      </c>
      <c r="D25">
        <v>0.2279065340503498</v>
      </c>
      <c r="E25">
        <v>-0.15351373162593429</v>
      </c>
      <c r="F25" t="s">
        <v>226</v>
      </c>
      <c r="G25" t="s">
        <v>227</v>
      </c>
    </row>
    <row r="26" spans="1:7" x14ac:dyDescent="0.35">
      <c r="A26" t="s">
        <v>62</v>
      </c>
      <c r="B26">
        <v>0.4064862130027827</v>
      </c>
      <c r="C26" t="s">
        <v>120</v>
      </c>
      <c r="D26">
        <v>0.26219594140572511</v>
      </c>
      <c r="E26">
        <v>-0.14429027159705771</v>
      </c>
      <c r="F26" t="s">
        <v>226</v>
      </c>
      <c r="G26" t="s">
        <v>227</v>
      </c>
    </row>
    <row r="27" spans="1:7" x14ac:dyDescent="0.35">
      <c r="A27" t="s">
        <v>64</v>
      </c>
      <c r="B27">
        <v>0.42265709866696821</v>
      </c>
      <c r="C27" t="s">
        <v>120</v>
      </c>
      <c r="D27">
        <v>0.26302321330652528</v>
      </c>
      <c r="E27">
        <v>-0.1596338853604429</v>
      </c>
      <c r="F27" t="s">
        <v>226</v>
      </c>
      <c r="G27" t="s">
        <v>227</v>
      </c>
    </row>
    <row r="28" spans="1:7" x14ac:dyDescent="0.35">
      <c r="A28" t="s">
        <v>66</v>
      </c>
      <c r="B28">
        <v>0.3974012391090469</v>
      </c>
      <c r="C28" t="s">
        <v>120</v>
      </c>
      <c r="D28">
        <v>0.25293148560907058</v>
      </c>
      <c r="E28">
        <v>-0.14446975349997629</v>
      </c>
      <c r="F28" t="s">
        <v>226</v>
      </c>
      <c r="G28" t="s">
        <v>227</v>
      </c>
    </row>
    <row r="29" spans="1:7" x14ac:dyDescent="0.35">
      <c r="A29" t="s">
        <v>68</v>
      </c>
      <c r="B29">
        <v>0.42508290461549081</v>
      </c>
      <c r="C29" t="s">
        <v>120</v>
      </c>
      <c r="D29">
        <v>0.27725596604745012</v>
      </c>
      <c r="E29">
        <v>-0.14782693856804069</v>
      </c>
      <c r="F29" t="s">
        <v>226</v>
      </c>
      <c r="G29" t="s">
        <v>227</v>
      </c>
    </row>
    <row r="30" spans="1:7" x14ac:dyDescent="0.35">
      <c r="A30" t="s">
        <v>70</v>
      </c>
      <c r="B30">
        <v>0.38562131164949859</v>
      </c>
      <c r="C30" t="s">
        <v>120</v>
      </c>
      <c r="D30">
        <v>0.19121258982989181</v>
      </c>
      <c r="E30">
        <v>-0.19440872181960681</v>
      </c>
      <c r="F30" t="s">
        <v>226</v>
      </c>
      <c r="G30" t="s">
        <v>227</v>
      </c>
    </row>
    <row r="31" spans="1:7" x14ac:dyDescent="0.35">
      <c r="A31" t="s">
        <v>73</v>
      </c>
      <c r="B31">
        <v>0.38488882260089241</v>
      </c>
      <c r="C31" t="s">
        <v>120</v>
      </c>
      <c r="D31">
        <v>0.21530008846673179</v>
      </c>
      <c r="E31">
        <v>-0.16958873413416059</v>
      </c>
      <c r="F31" t="s">
        <v>226</v>
      </c>
      <c r="G31" t="s">
        <v>227</v>
      </c>
    </row>
    <row r="32" spans="1:7" x14ac:dyDescent="0.35">
      <c r="A32" t="s">
        <v>75</v>
      </c>
      <c r="B32">
        <v>0.37347726887944732</v>
      </c>
      <c r="C32" t="s">
        <v>120</v>
      </c>
      <c r="D32">
        <v>0.22721598002496879</v>
      </c>
      <c r="E32">
        <v>-0.14626128885447851</v>
      </c>
      <c r="F32" t="s">
        <v>226</v>
      </c>
      <c r="G32" t="s">
        <v>227</v>
      </c>
    </row>
    <row r="33" spans="1:7" x14ac:dyDescent="0.35">
      <c r="A33" t="s">
        <v>77</v>
      </c>
      <c r="B33">
        <v>0.36791596450614622</v>
      </c>
      <c r="C33" t="s">
        <v>120</v>
      </c>
      <c r="D33">
        <v>0.2362740022060644</v>
      </c>
      <c r="E33">
        <v>-0.13164196230008171</v>
      </c>
      <c r="F33" t="s">
        <v>226</v>
      </c>
      <c r="G33" t="s">
        <v>227</v>
      </c>
    </row>
    <row r="34" spans="1:7" x14ac:dyDescent="0.35">
      <c r="A34" t="s">
        <v>79</v>
      </c>
      <c r="B34">
        <v>0.43840378197997781</v>
      </c>
      <c r="C34" t="s">
        <v>120</v>
      </c>
      <c r="D34">
        <v>0.2731190309806662</v>
      </c>
      <c r="E34">
        <v>-0.16528475099931161</v>
      </c>
      <c r="F34" t="s">
        <v>226</v>
      </c>
      <c r="G34" t="s">
        <v>227</v>
      </c>
    </row>
    <row r="35" spans="1:7" x14ac:dyDescent="0.35">
      <c r="A35" t="s">
        <v>81</v>
      </c>
      <c r="B35">
        <v>0.42639599284133389</v>
      </c>
      <c r="C35" t="s">
        <v>120</v>
      </c>
      <c r="D35">
        <v>0.28277822316157708</v>
      </c>
      <c r="E35">
        <v>-0.14361776967975681</v>
      </c>
      <c r="F35" t="s">
        <v>226</v>
      </c>
      <c r="G35" t="s">
        <v>227</v>
      </c>
    </row>
    <row r="36" spans="1:7" x14ac:dyDescent="0.35">
      <c r="A36" t="s">
        <v>83</v>
      </c>
      <c r="B36">
        <v>0.37661431853274591</v>
      </c>
      <c r="C36" t="s">
        <v>120</v>
      </c>
      <c r="D36">
        <v>0.25529964588620108</v>
      </c>
      <c r="E36">
        <v>-0.12131467264654471</v>
      </c>
      <c r="F36" t="s">
        <v>226</v>
      </c>
      <c r="G36" t="s">
        <v>227</v>
      </c>
    </row>
    <row r="37" spans="1:7" x14ac:dyDescent="0.35">
      <c r="A37" t="s">
        <v>85</v>
      </c>
      <c r="B37">
        <v>0.39362860862878962</v>
      </c>
      <c r="C37" t="s">
        <v>120</v>
      </c>
      <c r="D37">
        <v>0.2425917119008183</v>
      </c>
      <c r="E37">
        <v>-0.1510368967279713</v>
      </c>
      <c r="F37" t="s">
        <v>226</v>
      </c>
      <c r="G37" t="s">
        <v>227</v>
      </c>
    </row>
    <row r="38" spans="1:7" x14ac:dyDescent="0.35">
      <c r="A38" t="s">
        <v>87</v>
      </c>
      <c r="B38">
        <v>0.39869407252710037</v>
      </c>
      <c r="C38" t="s">
        <v>120</v>
      </c>
      <c r="D38">
        <v>0.25559832774535368</v>
      </c>
      <c r="E38">
        <v>-0.14309574478174669</v>
      </c>
      <c r="F38" t="s">
        <v>226</v>
      </c>
      <c r="G38" t="s">
        <v>227</v>
      </c>
    </row>
    <row r="39" spans="1:7" x14ac:dyDescent="0.35">
      <c r="A39" t="s">
        <v>89</v>
      </c>
      <c r="B39">
        <v>0.44043264723578712</v>
      </c>
      <c r="C39" t="s">
        <v>120</v>
      </c>
      <c r="D39">
        <v>0.29717659137577002</v>
      </c>
      <c r="E39">
        <v>-0.14325605586001711</v>
      </c>
      <c r="F39" t="s">
        <v>226</v>
      </c>
      <c r="G39" t="s">
        <v>227</v>
      </c>
    </row>
    <row r="40" spans="1:7" x14ac:dyDescent="0.35">
      <c r="A40" t="s">
        <v>91</v>
      </c>
      <c r="B40">
        <v>0.36993097866952002</v>
      </c>
      <c r="C40" t="s">
        <v>120</v>
      </c>
      <c r="D40">
        <v>0.23960458473978999</v>
      </c>
      <c r="E40">
        <v>-0.13032639392973</v>
      </c>
      <c r="F40" t="s">
        <v>226</v>
      </c>
      <c r="G40" t="s">
        <v>227</v>
      </c>
    </row>
    <row r="41" spans="1:7" x14ac:dyDescent="0.35">
      <c r="A41" t="s">
        <v>93</v>
      </c>
      <c r="B41">
        <v>0.38805383836086588</v>
      </c>
      <c r="C41" t="s">
        <v>120</v>
      </c>
      <c r="D41">
        <v>0.2313611037410454</v>
      </c>
      <c r="E41">
        <v>-0.1566927346198205</v>
      </c>
      <c r="F41" t="s">
        <v>226</v>
      </c>
      <c r="G41" t="s">
        <v>227</v>
      </c>
    </row>
    <row r="42" spans="1:7" x14ac:dyDescent="0.35">
      <c r="A42" t="s">
        <v>95</v>
      </c>
      <c r="B42">
        <v>0.42381453219057003</v>
      </c>
      <c r="C42" t="s">
        <v>120</v>
      </c>
      <c r="D42">
        <v>0.26760301942828862</v>
      </c>
      <c r="E42">
        <v>-0.1562115127622814</v>
      </c>
      <c r="F42" t="s">
        <v>226</v>
      </c>
      <c r="G42" t="s">
        <v>227</v>
      </c>
    </row>
    <row r="43" spans="1:7" x14ac:dyDescent="0.35">
      <c r="A43" t="s">
        <v>97</v>
      </c>
      <c r="B43">
        <v>0.37429854096520759</v>
      </c>
      <c r="C43" t="s">
        <v>120</v>
      </c>
      <c r="D43">
        <v>0.1869072164948454</v>
      </c>
      <c r="E43">
        <v>-0.1873913244703623</v>
      </c>
      <c r="F43" t="s">
        <v>226</v>
      </c>
      <c r="G43" t="s">
        <v>227</v>
      </c>
    </row>
    <row r="44" spans="1:7" x14ac:dyDescent="0.35">
      <c r="A44" t="s">
        <v>99</v>
      </c>
      <c r="B44">
        <v>0.41455726675697019</v>
      </c>
      <c r="C44" t="s">
        <v>120</v>
      </c>
      <c r="D44">
        <v>0.27501140470926771</v>
      </c>
      <c r="E44">
        <v>-0.1395458620477025</v>
      </c>
      <c r="F44" t="s">
        <v>226</v>
      </c>
      <c r="G44" t="s">
        <v>227</v>
      </c>
    </row>
    <row r="45" spans="1:7" x14ac:dyDescent="0.35">
      <c r="A45" t="s">
        <v>101</v>
      </c>
      <c r="B45">
        <v>0.41313936474050328</v>
      </c>
      <c r="C45" t="s">
        <v>120</v>
      </c>
      <c r="D45">
        <v>0.26299510985413149</v>
      </c>
      <c r="E45">
        <v>-0.15014425488637179</v>
      </c>
      <c r="F45" t="s">
        <v>226</v>
      </c>
      <c r="G45" t="s">
        <v>227</v>
      </c>
    </row>
    <row r="46" spans="1:7" x14ac:dyDescent="0.35">
      <c r="A46" t="s">
        <v>103</v>
      </c>
      <c r="B46">
        <v>0.38124105385198609</v>
      </c>
      <c r="C46" t="s">
        <v>120</v>
      </c>
      <c r="D46">
        <v>0.1814874696847211</v>
      </c>
      <c r="E46">
        <v>-0.19975358416726499</v>
      </c>
      <c r="F46" t="s">
        <v>226</v>
      </c>
      <c r="G46" t="s">
        <v>227</v>
      </c>
    </row>
    <row r="47" spans="1:7" x14ac:dyDescent="0.35">
      <c r="A47" t="s">
        <v>105</v>
      </c>
      <c r="B47">
        <v>0.42029736132453033</v>
      </c>
      <c r="C47" t="s">
        <v>120</v>
      </c>
      <c r="D47">
        <v>0.26924066096573013</v>
      </c>
      <c r="E47">
        <v>-0.1510567003588002</v>
      </c>
      <c r="F47" t="s">
        <v>226</v>
      </c>
      <c r="G47" t="s">
        <v>227</v>
      </c>
    </row>
    <row r="48" spans="1:7" x14ac:dyDescent="0.35">
      <c r="A48" t="s">
        <v>107</v>
      </c>
      <c r="B48">
        <v>0.40113738315052239</v>
      </c>
      <c r="C48" t="s">
        <v>120</v>
      </c>
      <c r="D48">
        <v>0.25915773735360081</v>
      </c>
      <c r="E48">
        <v>-0.1419796457969216</v>
      </c>
      <c r="F48" t="s">
        <v>226</v>
      </c>
      <c r="G48" t="s">
        <v>227</v>
      </c>
    </row>
    <row r="49" spans="1:7" x14ac:dyDescent="0.35">
      <c r="A49" t="s">
        <v>109</v>
      </c>
      <c r="B49">
        <v>0.42310905513170161</v>
      </c>
      <c r="C49" t="s">
        <v>120</v>
      </c>
      <c r="D49">
        <v>0.28601908013045202</v>
      </c>
      <c r="E49">
        <v>-0.13708997500124959</v>
      </c>
      <c r="F49" t="s">
        <v>226</v>
      </c>
      <c r="G49" t="s">
        <v>227</v>
      </c>
    </row>
    <row r="50" spans="1:7" x14ac:dyDescent="0.35">
      <c r="A50" t="s">
        <v>110</v>
      </c>
      <c r="B50">
        <v>0.38178705443165739</v>
      </c>
      <c r="C50" t="s">
        <v>120</v>
      </c>
      <c r="D50">
        <v>0.2496256226887931</v>
      </c>
      <c r="E50">
        <v>-0.13216143174286429</v>
      </c>
      <c r="F50" t="s">
        <v>226</v>
      </c>
      <c r="G50" t="s">
        <v>227</v>
      </c>
    </row>
    <row r="51" spans="1:7" x14ac:dyDescent="0.35">
      <c r="A51" t="s">
        <v>112</v>
      </c>
      <c r="B51">
        <v>0.3984588462837319</v>
      </c>
      <c r="C51" t="s">
        <v>120</v>
      </c>
      <c r="D51">
        <v>0.2549327061283157</v>
      </c>
      <c r="E51">
        <v>-0.1435261401554162</v>
      </c>
      <c r="F51" t="s">
        <v>226</v>
      </c>
      <c r="G51" t="s">
        <v>227</v>
      </c>
    </row>
    <row r="52" spans="1:7" x14ac:dyDescent="0.35">
      <c r="A52" t="s">
        <v>114</v>
      </c>
      <c r="B52">
        <v>0.40259981116806037</v>
      </c>
      <c r="C52" t="s">
        <v>120</v>
      </c>
      <c r="D52">
        <v>0.25338455909257229</v>
      </c>
      <c r="E52">
        <v>-0.14921525207548811</v>
      </c>
      <c r="F52" t="s">
        <v>226</v>
      </c>
      <c r="G52" t="s">
        <v>227</v>
      </c>
    </row>
  </sheetData>
  <sortState xmlns:xlrd2="http://schemas.microsoft.com/office/spreadsheetml/2017/richdata2" ref="A2:G52">
    <sortCondition ref="A2:A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F13-1111-47FC-91B0-48FE1F0C48C4}">
  <dimension ref="A1:G52"/>
  <sheetViews>
    <sheetView tabSelected="1" workbookViewId="0">
      <selection sqref="A1:XFD1048576"/>
    </sheetView>
  </sheetViews>
  <sheetFormatPr defaultRowHeight="14.5" x14ac:dyDescent="0.35"/>
  <cols>
    <col min="1" max="1" width="17.6328125" customWidth="1"/>
    <col min="2" max="2" width="30.36328125" customWidth="1"/>
    <col min="3" max="3" width="23.453125" style="54" customWidth="1"/>
    <col min="4" max="4" width="21.453125" style="54" customWidth="1"/>
    <col min="5" max="5" width="25.08984375" style="54" customWidth="1"/>
  </cols>
  <sheetData>
    <row r="1" spans="1:7" x14ac:dyDescent="0.35">
      <c r="A1" s="1" t="s">
        <v>220</v>
      </c>
      <c r="B1" s="1" t="s">
        <v>224</v>
      </c>
      <c r="C1" s="53" t="s">
        <v>2</v>
      </c>
      <c r="D1" s="53" t="s">
        <v>119</v>
      </c>
      <c r="E1" s="53" t="s">
        <v>248</v>
      </c>
      <c r="G1" s="1"/>
    </row>
    <row r="2" spans="1:7" x14ac:dyDescent="0.35">
      <c r="A2" t="s">
        <v>10</v>
      </c>
      <c r="B2">
        <v>-0.12544708500356769</v>
      </c>
      <c r="C2" s="54">
        <v>-9.5198350646299057E-2</v>
      </c>
      <c r="D2" s="54">
        <v>-0.43417693810552987</v>
      </c>
      <c r="E2" s="54">
        <v>-3.2782905970103117E-2</v>
      </c>
    </row>
    <row r="3" spans="1:7" x14ac:dyDescent="0.35">
      <c r="A3" t="s">
        <v>14</v>
      </c>
      <c r="B3">
        <v>-0.16030973870639059</v>
      </c>
      <c r="C3" s="54">
        <v>-0.1549666590113539</v>
      </c>
      <c r="D3" s="54">
        <v>-0.72700931197491037</v>
      </c>
      <c r="E3" s="54">
        <v>-4.3501978831882282E-2</v>
      </c>
    </row>
    <row r="4" spans="1:7" x14ac:dyDescent="0.35">
      <c r="A4" t="s">
        <v>17</v>
      </c>
      <c r="B4">
        <v>-0.14743240420080519</v>
      </c>
      <c r="C4" s="54">
        <v>-9.6837484837076937E-2</v>
      </c>
      <c r="D4" s="54">
        <v>-0.45653332675166342</v>
      </c>
      <c r="E4" s="54">
        <v>-3.6911071294977192E-2</v>
      </c>
    </row>
    <row r="5" spans="1:7" x14ac:dyDescent="0.35">
      <c r="A5" t="s">
        <v>19</v>
      </c>
      <c r="B5">
        <v>-0.15427795477645739</v>
      </c>
      <c r="C5" s="54">
        <v>-0.1209601282998224</v>
      </c>
      <c r="D5" s="54">
        <v>-0.52562555684779788</v>
      </c>
      <c r="E5" s="54">
        <v>-2.6169372589861201E-2</v>
      </c>
    </row>
    <row r="6" spans="1:7" x14ac:dyDescent="0.35">
      <c r="A6" t="s">
        <v>21</v>
      </c>
      <c r="B6">
        <v>-0.13863720890583631</v>
      </c>
      <c r="C6" s="54">
        <v>-8.2747874414712291E-2</v>
      </c>
      <c r="D6" s="54">
        <v>-0.54879300144035359</v>
      </c>
      <c r="E6" s="54">
        <v>-3.0366480748333681E-2</v>
      </c>
    </row>
    <row r="7" spans="1:7" x14ac:dyDescent="0.35">
      <c r="A7" t="s">
        <v>23</v>
      </c>
      <c r="B7">
        <v>-0.13398664280375111</v>
      </c>
      <c r="C7" s="54">
        <v>-9.5058389249250641E-2</v>
      </c>
      <c r="D7" s="54">
        <v>-0.60099746535981535</v>
      </c>
      <c r="E7" s="54">
        <v>-2.8538937402644349E-2</v>
      </c>
    </row>
    <row r="8" spans="1:7" x14ac:dyDescent="0.35">
      <c r="A8" t="s">
        <v>25</v>
      </c>
      <c r="B8">
        <v>-0.1191058730880722</v>
      </c>
      <c r="C8" s="54">
        <v>-0.1034176669513702</v>
      </c>
      <c r="D8" s="54">
        <v>-0.50953459507992971</v>
      </c>
      <c r="E8" s="54">
        <v>-3.0837078432545361E-2</v>
      </c>
    </row>
    <row r="9" spans="1:7" x14ac:dyDescent="0.35">
      <c r="A9" t="s">
        <v>27</v>
      </c>
      <c r="B9">
        <v>-0.1462749717939911</v>
      </c>
      <c r="C9" s="54">
        <v>-6.8315358238176638E-2</v>
      </c>
      <c r="D9" s="54">
        <v>-0.33648834088549762</v>
      </c>
      <c r="E9" s="54">
        <v>-3.6133780611459249E-2</v>
      </c>
    </row>
    <row r="10" spans="1:7" x14ac:dyDescent="0.35">
      <c r="A10" t="s">
        <v>29</v>
      </c>
      <c r="B10">
        <v>-0.12153440562115091</v>
      </c>
      <c r="C10" s="54">
        <v>-0.13092188497120849</v>
      </c>
      <c r="D10" s="54">
        <v>-0.41726141005971618</v>
      </c>
      <c r="E10" s="54">
        <v>-2.7119148795925242E-2</v>
      </c>
    </row>
    <row r="11" spans="1:7" x14ac:dyDescent="0.35">
      <c r="A11" t="s">
        <v>31</v>
      </c>
      <c r="B11">
        <v>-0.14449773882653319</v>
      </c>
      <c r="C11" s="54">
        <v>-8.8547929225691879E-2</v>
      </c>
      <c r="D11" s="54">
        <v>-0.55736439138981086</v>
      </c>
      <c r="E11" s="54">
        <v>-2.3036661502693501E-2</v>
      </c>
    </row>
    <row r="12" spans="1:7" x14ac:dyDescent="0.35">
      <c r="A12" t="s">
        <v>33</v>
      </c>
      <c r="B12">
        <v>-0.15464433400551711</v>
      </c>
      <c r="C12" s="54">
        <v>-0.15170528112385501</v>
      </c>
      <c r="D12" s="54">
        <v>-0.5797951973405997</v>
      </c>
      <c r="E12" s="54">
        <v>-2.857685288439573E-2</v>
      </c>
    </row>
    <row r="13" spans="1:7" x14ac:dyDescent="0.35">
      <c r="A13" t="s">
        <v>35</v>
      </c>
      <c r="B13">
        <v>-0.1245384067880068</v>
      </c>
      <c r="C13" s="54">
        <v>-0.1004737542556003</v>
      </c>
      <c r="D13" s="54">
        <v>-0.64153569924915266</v>
      </c>
      <c r="E13" s="54">
        <v>-3.4683045766763239E-2</v>
      </c>
    </row>
    <row r="14" spans="1:7" x14ac:dyDescent="0.35">
      <c r="A14" t="s">
        <v>37</v>
      </c>
      <c r="B14">
        <v>-0.17669768076791389</v>
      </c>
      <c r="C14" s="54">
        <v>-4.9841765044389807E-2</v>
      </c>
      <c r="D14" s="54">
        <v>-0.4309666074648551</v>
      </c>
      <c r="E14" s="54">
        <v>-9.4815994421875327E-2</v>
      </c>
    </row>
    <row r="15" spans="1:7" x14ac:dyDescent="0.35">
      <c r="A15" t="s">
        <v>40</v>
      </c>
      <c r="B15">
        <v>-0.16949466551628431</v>
      </c>
      <c r="C15" s="54">
        <v>-0.1095055002318808</v>
      </c>
      <c r="D15" s="54">
        <v>-0.58274581426188454</v>
      </c>
      <c r="E15" s="54">
        <v>-4.0141038763278861E-2</v>
      </c>
    </row>
    <row r="16" spans="1:7" x14ac:dyDescent="0.35">
      <c r="A16" t="s">
        <v>42</v>
      </c>
      <c r="B16">
        <v>-0.13291527005946141</v>
      </c>
      <c r="C16" s="54">
        <v>-0.11716141371688581</v>
      </c>
      <c r="D16" s="54">
        <v>-0.58375248962597959</v>
      </c>
      <c r="E16" s="54">
        <v>-3.5743444965921002E-2</v>
      </c>
    </row>
    <row r="17" spans="1:5" x14ac:dyDescent="0.35">
      <c r="A17" t="s">
        <v>44</v>
      </c>
      <c r="B17">
        <v>-0.14998920779457281</v>
      </c>
      <c r="C17" s="54">
        <v>-0.1020262652581972</v>
      </c>
      <c r="D17" s="54">
        <v>-0.55715580606690618</v>
      </c>
      <c r="E17" s="54">
        <v>-3.7387816044203763E-2</v>
      </c>
    </row>
    <row r="18" spans="1:5" x14ac:dyDescent="0.35">
      <c r="A18" t="s">
        <v>46</v>
      </c>
      <c r="B18">
        <v>-0.15127562691955909</v>
      </c>
      <c r="C18" s="54">
        <v>-7.6309441932703559E-2</v>
      </c>
      <c r="D18" s="54">
        <v>-0.56051773109275826</v>
      </c>
      <c r="E18" s="54">
        <v>-6.5796404246704854E-2</v>
      </c>
    </row>
    <row r="19" spans="1:5" x14ac:dyDescent="0.35">
      <c r="A19" t="s">
        <v>48</v>
      </c>
      <c r="B19">
        <v>-0.16100715184834111</v>
      </c>
      <c r="C19" s="54">
        <v>-9.6160722091405082E-2</v>
      </c>
      <c r="D19" s="54">
        <v>-0.53745861619354784</v>
      </c>
      <c r="E19" s="54">
        <v>-3.4804076082474107E-2</v>
      </c>
    </row>
    <row r="20" spans="1:5" x14ac:dyDescent="0.35">
      <c r="A20" t="s">
        <v>50</v>
      </c>
      <c r="B20">
        <v>-0.1966260487954623</v>
      </c>
      <c r="C20" s="54">
        <v>-0.11103094311853851</v>
      </c>
      <c r="D20" s="54">
        <v>-0.5284987670675948</v>
      </c>
      <c r="E20" s="54">
        <v>-5.1532183977374052E-2</v>
      </c>
    </row>
    <row r="21" spans="1:5" x14ac:dyDescent="0.35">
      <c r="A21" t="s">
        <v>52</v>
      </c>
      <c r="B21">
        <v>-0.12739176984468781</v>
      </c>
      <c r="C21" s="54">
        <v>-9.4921486947379896E-2</v>
      </c>
      <c r="D21" s="54">
        <v>-0.51199003389780462</v>
      </c>
      <c r="E21" s="54">
        <v>-3.5144689118466403E-2</v>
      </c>
    </row>
    <row r="22" spans="1:5" x14ac:dyDescent="0.35">
      <c r="A22" t="s">
        <v>54</v>
      </c>
      <c r="B22">
        <v>-0.1390350149583138</v>
      </c>
      <c r="C22" s="54">
        <v>-0.11316718670334221</v>
      </c>
      <c r="D22" s="54">
        <v>-0.56765398228047892</v>
      </c>
      <c r="E22" s="54">
        <v>-2.523048668297527E-2</v>
      </c>
    </row>
    <row r="23" spans="1:5" x14ac:dyDescent="0.35">
      <c r="A23" t="s">
        <v>56</v>
      </c>
      <c r="B23">
        <v>-0.1041050488017609</v>
      </c>
      <c r="C23" s="54">
        <v>-0.10013993568597419</v>
      </c>
      <c r="D23" s="54">
        <v>-0.38116596703421202</v>
      </c>
      <c r="E23" s="54">
        <v>-2.7457217859598749E-2</v>
      </c>
    </row>
    <row r="24" spans="1:5" x14ac:dyDescent="0.35">
      <c r="A24" t="s">
        <v>58</v>
      </c>
      <c r="B24">
        <v>-0.17047094505011551</v>
      </c>
      <c r="C24" s="54">
        <v>-8.6136262700419686E-2</v>
      </c>
      <c r="D24" s="54">
        <v>-0.47765540494050063</v>
      </c>
      <c r="E24" s="54">
        <v>-3.7045864530255733E-2</v>
      </c>
    </row>
    <row r="25" spans="1:5" x14ac:dyDescent="0.35">
      <c r="A25" t="s">
        <v>60</v>
      </c>
      <c r="B25">
        <v>-0.15351373162593429</v>
      </c>
      <c r="C25" s="54">
        <v>-7.1642430384720401E-2</v>
      </c>
      <c r="D25" s="54">
        <v>-0.45304889019559219</v>
      </c>
      <c r="E25" s="54">
        <v>-5.7310789414813157E-2</v>
      </c>
    </row>
    <row r="26" spans="1:5" x14ac:dyDescent="0.35">
      <c r="A26" t="s">
        <v>62</v>
      </c>
      <c r="B26">
        <v>-0.14429027159705771</v>
      </c>
      <c r="C26" s="54">
        <v>-8.7137286095869793E-2</v>
      </c>
      <c r="D26" s="54">
        <v>-0.48334303499763009</v>
      </c>
      <c r="E26" s="54">
        <v>-4.5032380018324103E-2</v>
      </c>
    </row>
    <row r="27" spans="1:5" x14ac:dyDescent="0.35">
      <c r="A27" t="s">
        <v>64</v>
      </c>
      <c r="B27">
        <v>-0.1596338853604429</v>
      </c>
      <c r="C27" s="54">
        <v>-0.1217299908584004</v>
      </c>
      <c r="D27" s="54">
        <v>-0.60903058730687343</v>
      </c>
      <c r="E27" s="54">
        <v>-5.7812903465347398E-2</v>
      </c>
    </row>
    <row r="28" spans="1:5" x14ac:dyDescent="0.35">
      <c r="A28" t="s">
        <v>66</v>
      </c>
      <c r="B28">
        <v>-0.14446975349997629</v>
      </c>
      <c r="C28" s="54">
        <v>-7.734279831157187E-2</v>
      </c>
      <c r="D28" s="54">
        <v>-0.52000090265857768</v>
      </c>
      <c r="E28" s="54">
        <v>-5.5177173479541021E-2</v>
      </c>
    </row>
    <row r="29" spans="1:5" x14ac:dyDescent="0.35">
      <c r="A29" t="s">
        <v>68</v>
      </c>
      <c r="B29">
        <v>-0.14782693856804069</v>
      </c>
      <c r="C29" s="54">
        <v>-0.102370424034295</v>
      </c>
      <c r="D29" s="54">
        <v>-0.49436336628558958</v>
      </c>
      <c r="E29" s="54">
        <v>-1.8745822978261571E-2</v>
      </c>
    </row>
    <row r="30" spans="1:5" x14ac:dyDescent="0.35">
      <c r="A30" t="s">
        <v>70</v>
      </c>
      <c r="B30">
        <v>-0.19440872181960681</v>
      </c>
      <c r="C30" s="54">
        <v>-7.8873631927259824E-3</v>
      </c>
      <c r="D30" s="54">
        <v>-0.49987265496609767</v>
      </c>
      <c r="E30" s="54">
        <v>-0.13684765800369761</v>
      </c>
    </row>
    <row r="31" spans="1:5" x14ac:dyDescent="0.35">
      <c r="A31" t="s">
        <v>73</v>
      </c>
      <c r="B31">
        <v>-0.16958873413416059</v>
      </c>
      <c r="C31" s="54">
        <v>-7.5835352797249289E-2</v>
      </c>
      <c r="D31" s="54">
        <v>-0.60435816892937533</v>
      </c>
      <c r="E31" s="54">
        <v>-9.5606598484181501E-2</v>
      </c>
    </row>
    <row r="32" spans="1:5" x14ac:dyDescent="0.35">
      <c r="A32" t="s">
        <v>75</v>
      </c>
      <c r="B32">
        <v>-0.14626128885447851</v>
      </c>
      <c r="C32" s="54">
        <v>-0.1120309415947542</v>
      </c>
      <c r="D32" s="54">
        <v>-0.51322151003502325</v>
      </c>
      <c r="E32" s="54">
        <v>-4.4401980006491093E-2</v>
      </c>
    </row>
    <row r="33" spans="1:5" x14ac:dyDescent="0.35">
      <c r="A33" t="s">
        <v>77</v>
      </c>
      <c r="B33">
        <v>-0.13164196230008171</v>
      </c>
      <c r="C33" s="54">
        <v>-9.114004559736219E-2</v>
      </c>
      <c r="D33" s="54">
        <v>-0.46813375349138209</v>
      </c>
      <c r="E33" s="54">
        <v>-2.9005223092839458E-2</v>
      </c>
    </row>
    <row r="34" spans="1:5" x14ac:dyDescent="0.35">
      <c r="A34" t="s">
        <v>79</v>
      </c>
      <c r="B34">
        <v>-0.16528475099931161</v>
      </c>
      <c r="C34" s="54">
        <v>-7.5370554921047939E-2</v>
      </c>
      <c r="D34" s="54">
        <v>-0.49273957593264939</v>
      </c>
      <c r="E34" s="54">
        <v>-4.0072416363544562E-2</v>
      </c>
    </row>
    <row r="35" spans="1:5" x14ac:dyDescent="0.35">
      <c r="A35" t="s">
        <v>81</v>
      </c>
      <c r="B35">
        <v>-0.14361776967975681</v>
      </c>
      <c r="C35" s="54">
        <v>-9.2471351184870376E-2</v>
      </c>
      <c r="D35" s="54">
        <v>-0.68972945545910291</v>
      </c>
      <c r="E35" s="54">
        <v>-2.844021057267257E-2</v>
      </c>
    </row>
    <row r="36" spans="1:5" x14ac:dyDescent="0.35">
      <c r="A36" t="s">
        <v>83</v>
      </c>
      <c r="B36">
        <v>-0.12131467264654471</v>
      </c>
      <c r="C36" s="54">
        <v>-6.6798976342859279E-2</v>
      </c>
      <c r="D36" s="54">
        <v>-0.45655791703797111</v>
      </c>
      <c r="E36" s="54">
        <v>-2.6891067042610399E-2</v>
      </c>
    </row>
    <row r="37" spans="1:5" x14ac:dyDescent="0.35">
      <c r="A37" t="s">
        <v>85</v>
      </c>
      <c r="B37">
        <v>-0.1510368967279713</v>
      </c>
      <c r="C37" s="54">
        <v>-0.10462580905720791</v>
      </c>
      <c r="D37" s="54">
        <v>-0.54310899588214279</v>
      </c>
      <c r="E37" s="54">
        <v>-4.2325374182238723E-2</v>
      </c>
    </row>
    <row r="38" spans="1:5" x14ac:dyDescent="0.35">
      <c r="A38" t="s">
        <v>87</v>
      </c>
      <c r="B38">
        <v>-0.14309574478174669</v>
      </c>
      <c r="C38" s="54">
        <v>-0.13780058207385429</v>
      </c>
      <c r="D38" s="54">
        <v>-0.62517881374080164</v>
      </c>
      <c r="E38" s="54">
        <v>-4.2838256189953898E-2</v>
      </c>
    </row>
    <row r="39" spans="1:5" x14ac:dyDescent="0.35">
      <c r="A39" t="s">
        <v>89</v>
      </c>
      <c r="B39">
        <v>-0.14325605586001711</v>
      </c>
      <c r="C39" s="54">
        <v>-9.4541708444680239E-2</v>
      </c>
      <c r="D39" s="54">
        <v>-0.54263289318552577</v>
      </c>
      <c r="E39" s="54">
        <v>-3.1687977008434412E-2</v>
      </c>
    </row>
    <row r="40" spans="1:5" x14ac:dyDescent="0.35">
      <c r="A40" t="s">
        <v>91</v>
      </c>
      <c r="B40">
        <v>-0.13032639392973</v>
      </c>
      <c r="C40" s="54">
        <v>-8.8963890062652484E-2</v>
      </c>
      <c r="D40" s="54">
        <v>-0.48334858898119898</v>
      </c>
      <c r="E40" s="54">
        <v>-3.0346352742980798E-2</v>
      </c>
    </row>
    <row r="41" spans="1:5" x14ac:dyDescent="0.35">
      <c r="A41" t="s">
        <v>93</v>
      </c>
      <c r="B41">
        <v>-0.1566927346198205</v>
      </c>
      <c r="C41" s="54">
        <v>-0.10104944849622979</v>
      </c>
      <c r="D41" s="54">
        <v>-0.43668118762358471</v>
      </c>
      <c r="E41" s="54">
        <v>-5.1418647397998903E-2</v>
      </c>
    </row>
    <row r="42" spans="1:5" x14ac:dyDescent="0.35">
      <c r="A42" t="s">
        <v>95</v>
      </c>
      <c r="B42">
        <v>-0.1562115127622814</v>
      </c>
      <c r="C42" s="54">
        <v>-0.14271937556432479</v>
      </c>
      <c r="D42" s="54">
        <v>-0.62278423989442055</v>
      </c>
      <c r="E42" s="54">
        <v>-2.3136027719977789E-2</v>
      </c>
    </row>
    <row r="43" spans="1:5" x14ac:dyDescent="0.35">
      <c r="A43" t="s">
        <v>97</v>
      </c>
      <c r="B43">
        <v>-0.1873913244703623</v>
      </c>
      <c r="C43" s="54">
        <v>-3.0012173467044989E-2</v>
      </c>
      <c r="D43" s="54">
        <v>-0.61756652091377384</v>
      </c>
      <c r="E43" s="54">
        <v>-9.8986401621855208E-2</v>
      </c>
    </row>
    <row r="44" spans="1:5" x14ac:dyDescent="0.35">
      <c r="A44" t="s">
        <v>99</v>
      </c>
      <c r="B44">
        <v>-0.1395458620477025</v>
      </c>
      <c r="C44" s="54">
        <v>-0.1190178183983662</v>
      </c>
      <c r="D44" s="54">
        <v>-0.60803192609566481</v>
      </c>
      <c r="E44" s="54">
        <v>-2.629665774525514E-2</v>
      </c>
    </row>
    <row r="45" spans="1:5" x14ac:dyDescent="0.35">
      <c r="A45" t="s">
        <v>101</v>
      </c>
      <c r="B45">
        <v>-0.15014425488637179</v>
      </c>
      <c r="C45" s="54">
        <v>-0.11043334959287231</v>
      </c>
      <c r="D45" s="54">
        <v>-0.50415825641530188</v>
      </c>
      <c r="E45" s="54">
        <v>-3.022972574217777E-2</v>
      </c>
    </row>
    <row r="46" spans="1:5" x14ac:dyDescent="0.35">
      <c r="A46" t="s">
        <v>103</v>
      </c>
      <c r="B46">
        <v>-0.19975358416726499</v>
      </c>
      <c r="C46" s="54">
        <v>-8.1899734074938169E-2</v>
      </c>
      <c r="D46" s="54">
        <v>-0.62823925339590314</v>
      </c>
      <c r="E46" s="54">
        <v>-4.9859179750453078E-2</v>
      </c>
    </row>
    <row r="47" spans="1:5" x14ac:dyDescent="0.35">
      <c r="A47" t="s">
        <v>105</v>
      </c>
      <c r="B47">
        <v>-0.1510567003588002</v>
      </c>
      <c r="C47" s="54">
        <v>-0.1043062055434849</v>
      </c>
      <c r="D47" s="54">
        <v>-0.46122762762616809</v>
      </c>
      <c r="E47" s="54">
        <v>-2.548052599439268E-2</v>
      </c>
    </row>
    <row r="48" spans="1:5" x14ac:dyDescent="0.35">
      <c r="A48" t="s">
        <v>107</v>
      </c>
      <c r="B48">
        <v>-0.1419796457969216</v>
      </c>
      <c r="C48" s="54">
        <v>-7.5715089653031198E-2</v>
      </c>
      <c r="D48" s="54">
        <v>-0.42447995249478332</v>
      </c>
      <c r="E48" s="54">
        <v>-3.4320938224624932E-2</v>
      </c>
    </row>
    <row r="49" spans="1:5" x14ac:dyDescent="0.35">
      <c r="A49" t="s">
        <v>109</v>
      </c>
      <c r="B49">
        <v>-0.13708997500124959</v>
      </c>
      <c r="C49" s="54">
        <v>-9.4925348079930749E-2</v>
      </c>
      <c r="D49" s="54">
        <v>-0.67748824827722243</v>
      </c>
      <c r="E49" s="54">
        <v>-3.1806738160054478E-2</v>
      </c>
    </row>
    <row r="50" spans="1:5" x14ac:dyDescent="0.35">
      <c r="A50" t="s">
        <v>110</v>
      </c>
      <c r="B50">
        <v>-0.13216143174286429</v>
      </c>
      <c r="C50" s="54">
        <v>-0.1279931502393053</v>
      </c>
      <c r="D50" s="54">
        <v>-0.66622743848435584</v>
      </c>
      <c r="E50" s="54">
        <v>-4.4241630285810372E-2</v>
      </c>
    </row>
    <row r="51" spans="1:5" x14ac:dyDescent="0.35">
      <c r="A51" t="s">
        <v>112</v>
      </c>
      <c r="B51">
        <v>-0.1435261401554162</v>
      </c>
      <c r="C51" s="54">
        <v>-6.7728175803502932E-2</v>
      </c>
      <c r="D51" s="54">
        <v>-0.47619445051598702</v>
      </c>
      <c r="E51" s="54">
        <v>-4.6895901325505231E-2</v>
      </c>
    </row>
    <row r="52" spans="1:5" x14ac:dyDescent="0.35">
      <c r="A52" t="s">
        <v>114</v>
      </c>
      <c r="B52">
        <v>-0.14921525207548811</v>
      </c>
      <c r="C52" s="54">
        <v>-9.5563751009565379E-2</v>
      </c>
      <c r="D52" s="54">
        <v>-0.59580572789277508</v>
      </c>
      <c r="E52" s="54">
        <v>-5.7174365438716963E-2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5629-9EA1-4CC7-8C5F-32D94293FA84}">
  <dimension ref="A1:K52"/>
  <sheetViews>
    <sheetView workbookViewId="0">
      <selection sqref="A1:A1048576"/>
    </sheetView>
  </sheetViews>
  <sheetFormatPr defaultRowHeight="14.5" x14ac:dyDescent="0.35"/>
  <cols>
    <col min="3" max="3" width="26.36328125" customWidth="1"/>
    <col min="4" max="4" width="19.6328125" customWidth="1"/>
    <col min="5" max="5" width="26.08984375" customWidth="1"/>
    <col min="6" max="6" width="18" customWidth="1"/>
    <col min="7" max="7" width="22.81640625" customWidth="1"/>
    <col min="8" max="8" width="24.08984375" customWidth="1"/>
    <col min="9" max="9" width="25.08984375" customWidth="1"/>
    <col min="10" max="10" width="29.36328125" customWidth="1"/>
    <col min="11" max="11" width="25.36328125" customWidth="1"/>
  </cols>
  <sheetData>
    <row r="1" spans="1:11" s="1" customFormat="1" x14ac:dyDescent="0.35">
      <c r="A1" s="1" t="s">
        <v>220</v>
      </c>
      <c r="B1" s="1" t="s">
        <v>222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7</v>
      </c>
      <c r="K1" s="1" t="s">
        <v>225</v>
      </c>
    </row>
    <row r="2" spans="1:11" x14ac:dyDescent="0.35">
      <c r="A2" t="s">
        <v>10</v>
      </c>
      <c r="B2" t="s">
        <v>120</v>
      </c>
      <c r="C2">
        <v>1156</v>
      </c>
      <c r="D2">
        <v>2901</v>
      </c>
      <c r="E2">
        <v>26330</v>
      </c>
      <c r="F2">
        <v>37829</v>
      </c>
      <c r="G2">
        <v>4.3904291682491457E-2</v>
      </c>
      <c r="H2">
        <v>7.6687197652594574E-2</v>
      </c>
      <c r="I2">
        <v>-3.2782905970103117E-2</v>
      </c>
      <c r="J2" t="s">
        <v>249</v>
      </c>
      <c r="K2" t="s">
        <v>250</v>
      </c>
    </row>
    <row r="3" spans="1:11" x14ac:dyDescent="0.35">
      <c r="A3" t="s">
        <v>14</v>
      </c>
      <c r="B3" t="s">
        <v>120</v>
      </c>
      <c r="C3">
        <v>6706</v>
      </c>
      <c r="D3">
        <v>19204</v>
      </c>
      <c r="E3">
        <v>164376</v>
      </c>
      <c r="F3">
        <v>227809</v>
      </c>
      <c r="G3">
        <v>4.0796709981992502E-2</v>
      </c>
      <c r="H3">
        <v>8.4298688813874784E-2</v>
      </c>
      <c r="I3">
        <v>-4.3501978831882282E-2</v>
      </c>
      <c r="J3" t="s">
        <v>249</v>
      </c>
      <c r="K3" t="s">
        <v>250</v>
      </c>
    </row>
    <row r="4" spans="1:11" x14ac:dyDescent="0.35">
      <c r="A4" t="s">
        <v>17</v>
      </c>
      <c r="B4" t="s">
        <v>120</v>
      </c>
      <c r="C4">
        <v>3744</v>
      </c>
      <c r="D4">
        <v>11034</v>
      </c>
      <c r="E4">
        <v>98507</v>
      </c>
      <c r="F4">
        <v>147280</v>
      </c>
      <c r="G4">
        <v>3.8007451247119503E-2</v>
      </c>
      <c r="H4">
        <v>7.4918522542096688E-2</v>
      </c>
      <c r="I4">
        <v>-3.6911071294977192E-2</v>
      </c>
      <c r="J4" t="s">
        <v>249</v>
      </c>
      <c r="K4" t="s">
        <v>250</v>
      </c>
    </row>
    <row r="5" spans="1:11" x14ac:dyDescent="0.35">
      <c r="A5" t="s">
        <v>19</v>
      </c>
      <c r="B5" t="s">
        <v>120</v>
      </c>
      <c r="C5">
        <v>6643</v>
      </c>
      <c r="D5">
        <v>17990</v>
      </c>
      <c r="E5">
        <v>252100</v>
      </c>
      <c r="F5">
        <v>342536</v>
      </c>
      <c r="G5">
        <v>2.6350654502181669E-2</v>
      </c>
      <c r="H5">
        <v>5.2520027092042877E-2</v>
      </c>
      <c r="I5">
        <v>-2.6169372589861201E-2</v>
      </c>
      <c r="J5" t="s">
        <v>249</v>
      </c>
      <c r="K5" t="s">
        <v>250</v>
      </c>
    </row>
    <row r="6" spans="1:11" x14ac:dyDescent="0.35">
      <c r="A6" t="s">
        <v>21</v>
      </c>
      <c r="B6" t="s">
        <v>120</v>
      </c>
      <c r="C6">
        <v>53685</v>
      </c>
      <c r="D6">
        <v>147495</v>
      </c>
      <c r="E6">
        <v>1544932</v>
      </c>
      <c r="F6">
        <v>2265126</v>
      </c>
      <c r="G6">
        <v>3.4749102225858482E-2</v>
      </c>
      <c r="H6">
        <v>6.5115582974192163E-2</v>
      </c>
      <c r="I6">
        <v>-3.0366480748333681E-2</v>
      </c>
      <c r="J6" t="s">
        <v>249</v>
      </c>
      <c r="K6" t="s">
        <v>250</v>
      </c>
    </row>
    <row r="7" spans="1:11" x14ac:dyDescent="0.35">
      <c r="A7" t="s">
        <v>23</v>
      </c>
      <c r="B7" t="s">
        <v>120</v>
      </c>
      <c r="C7">
        <v>9171</v>
      </c>
      <c r="D7">
        <v>23001</v>
      </c>
      <c r="E7">
        <v>259993</v>
      </c>
      <c r="F7">
        <v>360444</v>
      </c>
      <c r="G7">
        <v>3.5274026608408678E-2</v>
      </c>
      <c r="H7">
        <v>6.3812964011053033E-2</v>
      </c>
      <c r="I7">
        <v>-2.8538937402644349E-2</v>
      </c>
      <c r="J7" t="s">
        <v>249</v>
      </c>
      <c r="K7" t="s">
        <v>250</v>
      </c>
    </row>
    <row r="8" spans="1:11" x14ac:dyDescent="0.35">
      <c r="A8" t="s">
        <v>25</v>
      </c>
      <c r="B8" t="s">
        <v>120</v>
      </c>
      <c r="C8">
        <v>5216</v>
      </c>
      <c r="D8">
        <v>14847</v>
      </c>
      <c r="E8">
        <v>124803</v>
      </c>
      <c r="F8">
        <v>204417</v>
      </c>
      <c r="G8">
        <v>4.1793867134604139E-2</v>
      </c>
      <c r="H8">
        <v>7.2630945567149496E-2</v>
      </c>
      <c r="I8">
        <v>-3.0837078432545361E-2</v>
      </c>
      <c r="J8" t="s">
        <v>249</v>
      </c>
      <c r="K8" t="s">
        <v>250</v>
      </c>
    </row>
    <row r="9" spans="1:11" x14ac:dyDescent="0.35">
      <c r="A9" t="s">
        <v>27</v>
      </c>
      <c r="B9" t="s">
        <v>120</v>
      </c>
      <c r="C9">
        <v>1276</v>
      </c>
      <c r="D9">
        <v>2770</v>
      </c>
      <c r="E9">
        <v>30424</v>
      </c>
      <c r="F9">
        <v>35479</v>
      </c>
      <c r="G9">
        <v>4.1940573231659208E-2</v>
      </c>
      <c r="H9">
        <v>7.8074353843118463E-2</v>
      </c>
      <c r="I9">
        <v>-3.6133780611459249E-2</v>
      </c>
      <c r="J9" t="s">
        <v>249</v>
      </c>
      <c r="K9" t="s">
        <v>250</v>
      </c>
    </row>
    <row r="10" spans="1:11" x14ac:dyDescent="0.35">
      <c r="A10" t="s">
        <v>29</v>
      </c>
      <c r="B10" t="s">
        <v>120</v>
      </c>
      <c r="C10">
        <v>1161</v>
      </c>
      <c r="D10">
        <v>3242</v>
      </c>
      <c r="E10">
        <v>32096</v>
      </c>
      <c r="F10">
        <v>51223</v>
      </c>
      <c r="G10">
        <v>3.6172731804586238E-2</v>
      </c>
      <c r="H10">
        <v>6.3291880600511483E-2</v>
      </c>
      <c r="I10">
        <v>-2.7119148795925242E-2</v>
      </c>
      <c r="J10" t="s">
        <v>249</v>
      </c>
      <c r="K10" t="s">
        <v>250</v>
      </c>
    </row>
    <row r="11" spans="1:11" x14ac:dyDescent="0.35">
      <c r="A11" t="s">
        <v>31</v>
      </c>
      <c r="B11" t="s">
        <v>120</v>
      </c>
      <c r="C11">
        <v>31554</v>
      </c>
      <c r="D11">
        <v>79306</v>
      </c>
      <c r="E11">
        <v>1218083</v>
      </c>
      <c r="F11">
        <v>1620431</v>
      </c>
      <c r="G11">
        <v>2.590463868225729E-2</v>
      </c>
      <c r="H11">
        <v>4.8941300184950791E-2</v>
      </c>
      <c r="I11">
        <v>-2.3036661502693501E-2</v>
      </c>
      <c r="J11" t="s">
        <v>249</v>
      </c>
      <c r="K11" t="s">
        <v>250</v>
      </c>
    </row>
    <row r="12" spans="1:11" x14ac:dyDescent="0.35">
      <c r="A12" t="s">
        <v>33</v>
      </c>
      <c r="B12" t="s">
        <v>120</v>
      </c>
      <c r="C12">
        <v>15288</v>
      </c>
      <c r="D12">
        <v>37209</v>
      </c>
      <c r="E12">
        <v>512667</v>
      </c>
      <c r="F12">
        <v>637169</v>
      </c>
      <c r="G12">
        <v>2.982052677469E-2</v>
      </c>
      <c r="H12">
        <v>5.8397379659085737E-2</v>
      </c>
      <c r="I12">
        <v>-2.857685288439573E-2</v>
      </c>
      <c r="J12" t="s">
        <v>249</v>
      </c>
      <c r="K12" t="s">
        <v>250</v>
      </c>
    </row>
    <row r="13" spans="1:11" x14ac:dyDescent="0.35">
      <c r="A13" t="s">
        <v>35</v>
      </c>
      <c r="B13" t="s">
        <v>120</v>
      </c>
      <c r="C13">
        <v>2687</v>
      </c>
      <c r="D13">
        <v>5736</v>
      </c>
      <c r="E13">
        <v>54353</v>
      </c>
      <c r="F13">
        <v>68189</v>
      </c>
      <c r="G13">
        <v>4.9436093683881292E-2</v>
      </c>
      <c r="H13">
        <v>8.4119139450644531E-2</v>
      </c>
      <c r="I13">
        <v>-3.4683045766763239E-2</v>
      </c>
      <c r="J13" t="s">
        <v>249</v>
      </c>
      <c r="K13" t="s">
        <v>250</v>
      </c>
    </row>
    <row r="14" spans="1:11" x14ac:dyDescent="0.35">
      <c r="A14" t="s">
        <v>37</v>
      </c>
      <c r="B14" t="s">
        <v>120</v>
      </c>
      <c r="C14">
        <v>6628</v>
      </c>
      <c r="D14">
        <v>24452</v>
      </c>
      <c r="E14">
        <v>94944</v>
      </c>
      <c r="F14">
        <v>148531</v>
      </c>
      <c r="G14">
        <v>6.9809571958206945E-2</v>
      </c>
      <c r="H14">
        <v>0.1646255663800823</v>
      </c>
      <c r="I14">
        <v>-9.4815994421875327E-2</v>
      </c>
      <c r="J14" t="s">
        <v>249</v>
      </c>
      <c r="K14" t="s">
        <v>250</v>
      </c>
    </row>
    <row r="15" spans="1:11" x14ac:dyDescent="0.35">
      <c r="A15" t="s">
        <v>40</v>
      </c>
      <c r="B15" t="s">
        <v>120</v>
      </c>
      <c r="C15">
        <v>2237</v>
      </c>
      <c r="D15">
        <v>7266</v>
      </c>
      <c r="E15">
        <v>67427</v>
      </c>
      <c r="F15">
        <v>99103</v>
      </c>
      <c r="G15">
        <v>3.3176620641582749E-2</v>
      </c>
      <c r="H15">
        <v>7.331765940486161E-2</v>
      </c>
      <c r="I15">
        <v>-4.0141038763278861E-2</v>
      </c>
      <c r="J15" t="s">
        <v>249</v>
      </c>
      <c r="K15" t="s">
        <v>250</v>
      </c>
    </row>
    <row r="16" spans="1:11" x14ac:dyDescent="0.35">
      <c r="A16" t="s">
        <v>42</v>
      </c>
      <c r="B16" t="s">
        <v>120</v>
      </c>
      <c r="C16">
        <v>19716</v>
      </c>
      <c r="D16">
        <v>54491</v>
      </c>
      <c r="E16">
        <v>458842</v>
      </c>
      <c r="F16">
        <v>692279</v>
      </c>
      <c r="G16">
        <v>4.296903945148875E-2</v>
      </c>
      <c r="H16">
        <v>7.8712484417409745E-2</v>
      </c>
      <c r="I16">
        <v>-3.5743444965921002E-2</v>
      </c>
      <c r="J16" t="s">
        <v>249</v>
      </c>
      <c r="K16" t="s">
        <v>250</v>
      </c>
    </row>
    <row r="17" spans="1:11" x14ac:dyDescent="0.35">
      <c r="A17" t="s">
        <v>44</v>
      </c>
      <c r="B17" t="s">
        <v>120</v>
      </c>
      <c r="C17">
        <v>7311</v>
      </c>
      <c r="D17">
        <v>22053</v>
      </c>
      <c r="E17">
        <v>195996</v>
      </c>
      <c r="F17">
        <v>295262</v>
      </c>
      <c r="G17">
        <v>3.7301781669013663E-2</v>
      </c>
      <c r="H17">
        <v>7.4689597713217412E-2</v>
      </c>
      <c r="I17">
        <v>-3.7387816044203763E-2</v>
      </c>
      <c r="J17" t="s">
        <v>249</v>
      </c>
      <c r="K17" t="s">
        <v>250</v>
      </c>
    </row>
    <row r="18" spans="1:11" x14ac:dyDescent="0.35">
      <c r="A18" t="s">
        <v>46</v>
      </c>
      <c r="B18" t="s">
        <v>120</v>
      </c>
      <c r="C18">
        <v>5871</v>
      </c>
      <c r="D18">
        <v>18141</v>
      </c>
      <c r="E18">
        <v>91369</v>
      </c>
      <c r="F18">
        <v>139490</v>
      </c>
      <c r="G18">
        <v>6.4255929253904498E-2</v>
      </c>
      <c r="H18">
        <v>0.13005233350060941</v>
      </c>
      <c r="I18">
        <v>-6.5796404246704854E-2</v>
      </c>
      <c r="J18" t="s">
        <v>249</v>
      </c>
      <c r="K18" t="s">
        <v>250</v>
      </c>
    </row>
    <row r="19" spans="1:11" x14ac:dyDescent="0.35">
      <c r="A19" t="s">
        <v>48</v>
      </c>
      <c r="B19" t="s">
        <v>120</v>
      </c>
      <c r="C19">
        <v>3957</v>
      </c>
      <c r="D19">
        <v>13225</v>
      </c>
      <c r="E19">
        <v>130584</v>
      </c>
      <c r="F19">
        <v>203129</v>
      </c>
      <c r="G19">
        <v>3.0302334129755561E-2</v>
      </c>
      <c r="H19">
        <v>6.5106410212229668E-2</v>
      </c>
      <c r="I19">
        <v>-3.4804076082474107E-2</v>
      </c>
      <c r="J19" t="s">
        <v>249</v>
      </c>
      <c r="K19" t="s">
        <v>250</v>
      </c>
    </row>
    <row r="20" spans="1:11" x14ac:dyDescent="0.35">
      <c r="A20" t="s">
        <v>50</v>
      </c>
      <c r="B20" t="s">
        <v>120</v>
      </c>
      <c r="C20">
        <v>6469</v>
      </c>
      <c r="D20">
        <v>20990</v>
      </c>
      <c r="E20">
        <v>184528</v>
      </c>
      <c r="F20">
        <v>242409</v>
      </c>
      <c r="G20">
        <v>3.5057010318217292E-2</v>
      </c>
      <c r="H20">
        <v>8.6589194295591337E-2</v>
      </c>
      <c r="I20">
        <v>-5.1532183977374052E-2</v>
      </c>
      <c r="J20" t="s">
        <v>249</v>
      </c>
      <c r="K20" t="s">
        <v>250</v>
      </c>
    </row>
    <row r="21" spans="1:11" x14ac:dyDescent="0.35">
      <c r="A21" t="s">
        <v>52</v>
      </c>
      <c r="B21" t="s">
        <v>120</v>
      </c>
      <c r="C21">
        <v>10568</v>
      </c>
      <c r="D21">
        <v>31380</v>
      </c>
      <c r="E21">
        <v>244978</v>
      </c>
      <c r="F21">
        <v>400852</v>
      </c>
      <c r="G21">
        <v>4.3138567544840759E-2</v>
      </c>
      <c r="H21">
        <v>7.8283256663307155E-2</v>
      </c>
      <c r="I21">
        <v>-3.5144689118466403E-2</v>
      </c>
      <c r="J21" t="s">
        <v>249</v>
      </c>
      <c r="K21" t="s">
        <v>250</v>
      </c>
    </row>
    <row r="22" spans="1:11" x14ac:dyDescent="0.35">
      <c r="A22" t="s">
        <v>54</v>
      </c>
      <c r="B22" t="s">
        <v>120</v>
      </c>
      <c r="C22">
        <v>7583</v>
      </c>
      <c r="D22">
        <v>18770</v>
      </c>
      <c r="E22">
        <v>253343</v>
      </c>
      <c r="F22">
        <v>340269</v>
      </c>
      <c r="G22">
        <v>2.993175260417695E-2</v>
      </c>
      <c r="H22">
        <v>5.516223928715222E-2</v>
      </c>
      <c r="I22">
        <v>-2.523048668297527E-2</v>
      </c>
      <c r="J22" t="s">
        <v>249</v>
      </c>
      <c r="K22" t="s">
        <v>250</v>
      </c>
    </row>
    <row r="23" spans="1:11" x14ac:dyDescent="0.35">
      <c r="A23" t="s">
        <v>56</v>
      </c>
      <c r="B23" t="s">
        <v>120</v>
      </c>
      <c r="C23">
        <v>2220</v>
      </c>
      <c r="D23">
        <v>6071</v>
      </c>
      <c r="E23">
        <v>50046</v>
      </c>
      <c r="F23">
        <v>84535</v>
      </c>
      <c r="G23">
        <v>4.435918954561803E-2</v>
      </c>
      <c r="H23">
        <v>7.1816407405216776E-2</v>
      </c>
      <c r="I23">
        <v>-2.7457217859598749E-2</v>
      </c>
      <c r="J23" t="s">
        <v>249</v>
      </c>
      <c r="K23" t="s">
        <v>250</v>
      </c>
    </row>
    <row r="24" spans="1:11" x14ac:dyDescent="0.35">
      <c r="A24" t="s">
        <v>58</v>
      </c>
      <c r="B24" t="s">
        <v>120</v>
      </c>
      <c r="C24">
        <v>10718</v>
      </c>
      <c r="D24">
        <v>33579</v>
      </c>
      <c r="E24">
        <v>346916</v>
      </c>
      <c r="F24">
        <v>494238</v>
      </c>
      <c r="G24">
        <v>3.089508699512274E-2</v>
      </c>
      <c r="H24">
        <v>6.7940951525378462E-2</v>
      </c>
      <c r="I24">
        <v>-3.7045864530255733E-2</v>
      </c>
      <c r="J24" t="s">
        <v>249</v>
      </c>
      <c r="K24" t="s">
        <v>250</v>
      </c>
    </row>
    <row r="25" spans="1:11" x14ac:dyDescent="0.35">
      <c r="A25" t="s">
        <v>60</v>
      </c>
      <c r="B25" t="s">
        <v>120</v>
      </c>
      <c r="C25">
        <v>9578</v>
      </c>
      <c r="D25">
        <v>32448</v>
      </c>
      <c r="E25">
        <v>181984</v>
      </c>
      <c r="F25">
        <v>295138</v>
      </c>
      <c r="G25">
        <v>5.2631000527518901E-2</v>
      </c>
      <c r="H25">
        <v>0.1099417899423321</v>
      </c>
      <c r="I25">
        <v>-5.7310789414813157E-2</v>
      </c>
      <c r="J25" t="s">
        <v>249</v>
      </c>
      <c r="K25" t="s">
        <v>250</v>
      </c>
    </row>
    <row r="26" spans="1:11" x14ac:dyDescent="0.35">
      <c r="A26" t="s">
        <v>62</v>
      </c>
      <c r="B26" t="s">
        <v>120</v>
      </c>
      <c r="C26">
        <v>9755</v>
      </c>
      <c r="D26">
        <v>27450</v>
      </c>
      <c r="E26">
        <v>200855</v>
      </c>
      <c r="F26">
        <v>293270</v>
      </c>
      <c r="G26">
        <v>4.8567374474123133E-2</v>
      </c>
      <c r="H26">
        <v>9.3599754492447229E-2</v>
      </c>
      <c r="I26">
        <v>-4.5032380018324103E-2</v>
      </c>
      <c r="J26" t="s">
        <v>249</v>
      </c>
      <c r="K26" t="s">
        <v>250</v>
      </c>
    </row>
    <row r="27" spans="1:11" x14ac:dyDescent="0.35">
      <c r="A27" t="s">
        <v>64</v>
      </c>
      <c r="B27" t="s">
        <v>120</v>
      </c>
      <c r="C27">
        <v>5756</v>
      </c>
      <c r="D27">
        <v>16128</v>
      </c>
      <c r="E27">
        <v>104663</v>
      </c>
      <c r="F27">
        <v>142968</v>
      </c>
      <c r="G27">
        <v>5.4995557169200203E-2</v>
      </c>
      <c r="H27">
        <v>0.11280846063454759</v>
      </c>
      <c r="I27">
        <v>-5.7812903465347398E-2</v>
      </c>
      <c r="J27" t="s">
        <v>249</v>
      </c>
      <c r="K27" t="s">
        <v>250</v>
      </c>
    </row>
    <row r="28" spans="1:11" x14ac:dyDescent="0.35">
      <c r="A28" t="s">
        <v>66</v>
      </c>
      <c r="B28" t="s">
        <v>120</v>
      </c>
      <c r="C28">
        <v>2610</v>
      </c>
      <c r="D28">
        <v>7709</v>
      </c>
      <c r="E28">
        <v>44836</v>
      </c>
      <c r="F28">
        <v>67987</v>
      </c>
      <c r="G28">
        <v>5.8212150950129361E-2</v>
      </c>
      <c r="H28">
        <v>0.1133893244296704</v>
      </c>
      <c r="I28">
        <v>-5.5177173479541021E-2</v>
      </c>
      <c r="J28" t="s">
        <v>249</v>
      </c>
      <c r="K28" t="s">
        <v>250</v>
      </c>
    </row>
    <row r="29" spans="1:11" x14ac:dyDescent="0.35">
      <c r="A29" t="s">
        <v>68</v>
      </c>
      <c r="B29" t="s">
        <v>120</v>
      </c>
      <c r="C29">
        <v>7970</v>
      </c>
      <c r="D29">
        <v>20776</v>
      </c>
      <c r="E29">
        <v>394295</v>
      </c>
      <c r="F29">
        <v>533277</v>
      </c>
      <c r="G29">
        <v>2.0213292078266269E-2</v>
      </c>
      <c r="H29">
        <v>3.8959115056527847E-2</v>
      </c>
      <c r="I29">
        <v>-1.8745822978261571E-2</v>
      </c>
      <c r="J29" t="s">
        <v>249</v>
      </c>
      <c r="K29" t="s">
        <v>250</v>
      </c>
    </row>
    <row r="30" spans="1:11" x14ac:dyDescent="0.35">
      <c r="A30" t="s">
        <v>70</v>
      </c>
      <c r="B30" t="s">
        <v>120</v>
      </c>
      <c r="C30">
        <v>2102</v>
      </c>
      <c r="D30">
        <v>8891</v>
      </c>
      <c r="E30">
        <v>25419</v>
      </c>
      <c r="F30">
        <v>40498</v>
      </c>
      <c r="G30">
        <v>8.2694047759549943E-2</v>
      </c>
      <c r="H30">
        <v>0.21954170576324761</v>
      </c>
      <c r="I30">
        <v>-0.13684765800369761</v>
      </c>
      <c r="J30" t="s">
        <v>249</v>
      </c>
      <c r="K30" t="s">
        <v>250</v>
      </c>
    </row>
    <row r="31" spans="1:11" x14ac:dyDescent="0.35">
      <c r="A31" t="s">
        <v>73</v>
      </c>
      <c r="B31" t="s">
        <v>120</v>
      </c>
      <c r="C31">
        <v>4624</v>
      </c>
      <c r="D31">
        <v>16853</v>
      </c>
      <c r="E31">
        <v>61934</v>
      </c>
      <c r="F31">
        <v>98980</v>
      </c>
      <c r="G31">
        <v>7.4660122065424481E-2</v>
      </c>
      <c r="H31">
        <v>0.17026672054960601</v>
      </c>
      <c r="I31">
        <v>-9.5606598484181501E-2</v>
      </c>
      <c r="J31" t="s">
        <v>249</v>
      </c>
      <c r="K31" t="s">
        <v>250</v>
      </c>
    </row>
    <row r="32" spans="1:11" x14ac:dyDescent="0.35">
      <c r="A32" t="s">
        <v>75</v>
      </c>
      <c r="B32" t="s">
        <v>120</v>
      </c>
      <c r="C32">
        <v>2002</v>
      </c>
      <c r="D32">
        <v>6809</v>
      </c>
      <c r="E32">
        <v>46325</v>
      </c>
      <c r="F32">
        <v>77712</v>
      </c>
      <c r="G32">
        <v>4.3216405828386401E-2</v>
      </c>
      <c r="H32">
        <v>8.7618385834877494E-2</v>
      </c>
      <c r="I32">
        <v>-4.4401980006491093E-2</v>
      </c>
      <c r="J32" t="s">
        <v>249</v>
      </c>
      <c r="K32" t="s">
        <v>250</v>
      </c>
    </row>
    <row r="33" spans="1:11" x14ac:dyDescent="0.35">
      <c r="A33" t="s">
        <v>77</v>
      </c>
      <c r="B33" t="s">
        <v>120</v>
      </c>
      <c r="C33">
        <v>10496</v>
      </c>
      <c r="D33">
        <v>33927</v>
      </c>
      <c r="E33">
        <v>318971</v>
      </c>
      <c r="F33">
        <v>547996</v>
      </c>
      <c r="G33">
        <v>3.2905812754137523E-2</v>
      </c>
      <c r="H33">
        <v>6.1911035846976978E-2</v>
      </c>
      <c r="I33">
        <v>-2.9005223092839458E-2</v>
      </c>
      <c r="J33" t="s">
        <v>249</v>
      </c>
      <c r="K33" t="s">
        <v>250</v>
      </c>
    </row>
    <row r="34" spans="1:11" x14ac:dyDescent="0.35">
      <c r="A34" t="s">
        <v>79</v>
      </c>
      <c r="B34" t="s">
        <v>120</v>
      </c>
      <c r="C34">
        <v>2345</v>
      </c>
      <c r="D34">
        <v>6241</v>
      </c>
      <c r="E34">
        <v>63060</v>
      </c>
      <c r="F34">
        <v>80780</v>
      </c>
      <c r="G34">
        <v>3.7186806216301937E-2</v>
      </c>
      <c r="H34">
        <v>7.7259222579846493E-2</v>
      </c>
      <c r="I34">
        <v>-4.0072416363544562E-2</v>
      </c>
      <c r="J34" t="s">
        <v>249</v>
      </c>
      <c r="K34" t="s">
        <v>250</v>
      </c>
    </row>
    <row r="35" spans="1:11" x14ac:dyDescent="0.35">
      <c r="A35" t="s">
        <v>81</v>
      </c>
      <c r="B35" t="s">
        <v>120</v>
      </c>
      <c r="C35">
        <v>3880</v>
      </c>
      <c r="D35">
        <v>9841</v>
      </c>
      <c r="E35">
        <v>120795</v>
      </c>
      <c r="F35">
        <v>162498</v>
      </c>
      <c r="G35">
        <v>3.212053479034728E-2</v>
      </c>
      <c r="H35">
        <v>6.0560745363019849E-2</v>
      </c>
      <c r="I35">
        <v>-2.844021057267257E-2</v>
      </c>
      <c r="J35" t="s">
        <v>249</v>
      </c>
      <c r="K35" t="s">
        <v>250</v>
      </c>
    </row>
    <row r="36" spans="1:11" x14ac:dyDescent="0.35">
      <c r="A36" t="s">
        <v>83</v>
      </c>
      <c r="B36" t="s">
        <v>120</v>
      </c>
      <c r="C36">
        <v>26459</v>
      </c>
      <c r="D36">
        <v>77180</v>
      </c>
      <c r="E36">
        <v>750018</v>
      </c>
      <c r="F36">
        <v>1241457</v>
      </c>
      <c r="G36">
        <v>3.5277819998986687E-2</v>
      </c>
      <c r="H36">
        <v>6.2168887041597093E-2</v>
      </c>
      <c r="I36">
        <v>-2.6891067042610399E-2</v>
      </c>
      <c r="J36" t="s">
        <v>249</v>
      </c>
      <c r="K36" t="s">
        <v>250</v>
      </c>
    </row>
    <row r="37" spans="1:11" x14ac:dyDescent="0.35">
      <c r="A37" t="s">
        <v>85</v>
      </c>
      <c r="B37" t="s">
        <v>120</v>
      </c>
      <c r="C37">
        <v>14793</v>
      </c>
      <c r="D37">
        <v>46186</v>
      </c>
      <c r="E37">
        <v>358859</v>
      </c>
      <c r="F37">
        <v>552810</v>
      </c>
      <c r="G37">
        <v>4.1222318515071382E-2</v>
      </c>
      <c r="H37">
        <v>8.3547692697310105E-2</v>
      </c>
      <c r="I37">
        <v>-4.2325374182238723E-2</v>
      </c>
      <c r="J37" t="s">
        <v>249</v>
      </c>
      <c r="K37" t="s">
        <v>250</v>
      </c>
    </row>
    <row r="38" spans="1:11" x14ac:dyDescent="0.35">
      <c r="A38" t="s">
        <v>87</v>
      </c>
      <c r="B38" t="s">
        <v>120</v>
      </c>
      <c r="C38">
        <v>6175</v>
      </c>
      <c r="D38">
        <v>17984</v>
      </c>
      <c r="E38">
        <v>134208</v>
      </c>
      <c r="F38">
        <v>202411</v>
      </c>
      <c r="G38">
        <v>4.6010670004768717E-2</v>
      </c>
      <c r="H38">
        <v>8.8848926194722622E-2</v>
      </c>
      <c r="I38">
        <v>-4.2838256189953898E-2</v>
      </c>
      <c r="J38" t="s">
        <v>249</v>
      </c>
      <c r="K38" t="s">
        <v>250</v>
      </c>
    </row>
    <row r="39" spans="1:11" x14ac:dyDescent="0.35">
      <c r="A39" t="s">
        <v>89</v>
      </c>
      <c r="B39" t="s">
        <v>120</v>
      </c>
      <c r="C39">
        <v>5789</v>
      </c>
      <c r="D39">
        <v>13691</v>
      </c>
      <c r="E39">
        <v>157382</v>
      </c>
      <c r="F39">
        <v>199953</v>
      </c>
      <c r="G39">
        <v>3.6783113697881592E-2</v>
      </c>
      <c r="H39">
        <v>6.847109070631599E-2</v>
      </c>
      <c r="I39">
        <v>-3.1687977008434412E-2</v>
      </c>
      <c r="J39" t="s">
        <v>249</v>
      </c>
      <c r="K39" t="s">
        <v>250</v>
      </c>
    </row>
    <row r="40" spans="1:11" x14ac:dyDescent="0.35">
      <c r="A40" t="s">
        <v>91</v>
      </c>
      <c r="B40" t="s">
        <v>120</v>
      </c>
      <c r="C40">
        <v>12919</v>
      </c>
      <c r="D40">
        <v>40999</v>
      </c>
      <c r="E40">
        <v>367512</v>
      </c>
      <c r="F40">
        <v>625949</v>
      </c>
      <c r="G40">
        <v>3.5152593656805772E-2</v>
      </c>
      <c r="H40">
        <v>6.5498946399786567E-2</v>
      </c>
      <c r="I40">
        <v>-3.0346352742980798E-2</v>
      </c>
      <c r="J40" t="s">
        <v>249</v>
      </c>
      <c r="K40" t="s">
        <v>250</v>
      </c>
    </row>
    <row r="41" spans="1:11" x14ac:dyDescent="0.35">
      <c r="A41" t="s">
        <v>93</v>
      </c>
      <c r="B41" t="s">
        <v>120</v>
      </c>
      <c r="C41">
        <v>1744</v>
      </c>
      <c r="D41">
        <v>5794</v>
      </c>
      <c r="E41">
        <v>37538</v>
      </c>
      <c r="F41">
        <v>59196</v>
      </c>
      <c r="G41">
        <v>4.6459587617880549E-2</v>
      </c>
      <c r="H41">
        <v>9.7878235015879445E-2</v>
      </c>
      <c r="I41">
        <v>-5.1418647397998903E-2</v>
      </c>
      <c r="J41" t="s">
        <v>249</v>
      </c>
      <c r="K41" t="s">
        <v>250</v>
      </c>
    </row>
    <row r="42" spans="1:11" x14ac:dyDescent="0.35">
      <c r="A42" t="s">
        <v>95</v>
      </c>
      <c r="B42" t="s">
        <v>120</v>
      </c>
      <c r="C42">
        <v>4325</v>
      </c>
      <c r="D42">
        <v>11837</v>
      </c>
      <c r="E42">
        <v>189390</v>
      </c>
      <c r="F42">
        <v>257480</v>
      </c>
      <c r="G42">
        <v>2.2836474998679971E-2</v>
      </c>
      <c r="H42">
        <v>4.5972502718657757E-2</v>
      </c>
      <c r="I42">
        <v>-2.3136027719977789E-2</v>
      </c>
      <c r="J42" t="s">
        <v>249</v>
      </c>
      <c r="K42" t="s">
        <v>250</v>
      </c>
    </row>
    <row r="43" spans="1:11" x14ac:dyDescent="0.35">
      <c r="A43" t="s">
        <v>97</v>
      </c>
      <c r="B43" t="s">
        <v>120</v>
      </c>
      <c r="C43">
        <v>1813</v>
      </c>
      <c r="D43">
        <v>7887</v>
      </c>
      <c r="E43">
        <v>29348</v>
      </c>
      <c r="F43">
        <v>49060</v>
      </c>
      <c r="G43">
        <v>6.177593021670983E-2</v>
      </c>
      <c r="H43">
        <v>0.160762331838565</v>
      </c>
      <c r="I43">
        <v>-9.8986401621855208E-2</v>
      </c>
      <c r="J43" t="s">
        <v>249</v>
      </c>
      <c r="K43" t="s">
        <v>250</v>
      </c>
    </row>
    <row r="44" spans="1:11" x14ac:dyDescent="0.35">
      <c r="A44" t="s">
        <v>99</v>
      </c>
      <c r="B44" t="s">
        <v>120</v>
      </c>
      <c r="C44">
        <v>7837</v>
      </c>
      <c r="D44">
        <v>20660</v>
      </c>
      <c r="E44">
        <v>258304</v>
      </c>
      <c r="F44">
        <v>364780</v>
      </c>
      <c r="G44">
        <v>3.0340219276511399E-2</v>
      </c>
      <c r="H44">
        <v>5.6636877021766542E-2</v>
      </c>
      <c r="I44">
        <v>-2.629665774525514E-2</v>
      </c>
      <c r="J44" t="s">
        <v>249</v>
      </c>
      <c r="K44" t="s">
        <v>250</v>
      </c>
    </row>
    <row r="45" spans="1:11" x14ac:dyDescent="0.35">
      <c r="A45" t="s">
        <v>101</v>
      </c>
      <c r="B45" t="s">
        <v>120</v>
      </c>
      <c r="C45">
        <v>37754</v>
      </c>
      <c r="D45">
        <v>105800</v>
      </c>
      <c r="E45">
        <v>1214940</v>
      </c>
      <c r="F45">
        <v>1725811</v>
      </c>
      <c r="G45">
        <v>3.107478558611948E-2</v>
      </c>
      <c r="H45">
        <v>6.130451132829725E-2</v>
      </c>
      <c r="I45">
        <v>-3.022972574217777E-2</v>
      </c>
      <c r="J45" t="s">
        <v>249</v>
      </c>
      <c r="K45" t="s">
        <v>250</v>
      </c>
    </row>
    <row r="46" spans="1:11" x14ac:dyDescent="0.35">
      <c r="A46" t="s">
        <v>103</v>
      </c>
      <c r="B46" t="s">
        <v>120</v>
      </c>
      <c r="C46">
        <v>3143</v>
      </c>
      <c r="D46">
        <v>14175</v>
      </c>
      <c r="E46">
        <v>112131</v>
      </c>
      <c r="F46">
        <v>181990</v>
      </c>
      <c r="G46">
        <v>2.802971524377737E-2</v>
      </c>
      <c r="H46">
        <v>7.7888894994230448E-2</v>
      </c>
      <c r="I46">
        <v>-4.9859179750453078E-2</v>
      </c>
      <c r="J46" t="s">
        <v>249</v>
      </c>
      <c r="K46" t="s">
        <v>250</v>
      </c>
    </row>
    <row r="47" spans="1:11" x14ac:dyDescent="0.35">
      <c r="A47" t="s">
        <v>105</v>
      </c>
      <c r="B47" t="s">
        <v>120</v>
      </c>
      <c r="C47">
        <v>8375</v>
      </c>
      <c r="D47">
        <v>22731</v>
      </c>
      <c r="E47">
        <v>318105</v>
      </c>
      <c r="F47">
        <v>438752</v>
      </c>
      <c r="G47">
        <v>2.6327784850914009E-2</v>
      </c>
      <c r="H47">
        <v>5.1808310845306689E-2</v>
      </c>
      <c r="I47">
        <v>-2.548052599439268E-2</v>
      </c>
      <c r="J47" t="s">
        <v>249</v>
      </c>
      <c r="K47" t="s">
        <v>250</v>
      </c>
    </row>
    <row r="48" spans="1:11" x14ac:dyDescent="0.35">
      <c r="A48" t="s">
        <v>107</v>
      </c>
      <c r="B48" t="s">
        <v>120</v>
      </c>
      <c r="C48">
        <v>1040</v>
      </c>
      <c r="D48">
        <v>2973</v>
      </c>
      <c r="E48">
        <v>27721</v>
      </c>
      <c r="F48">
        <v>41385</v>
      </c>
      <c r="G48">
        <v>3.751668410230511E-2</v>
      </c>
      <c r="H48">
        <v>7.1837622326930042E-2</v>
      </c>
      <c r="I48">
        <v>-3.4320938224624932E-2</v>
      </c>
      <c r="J48" t="s">
        <v>249</v>
      </c>
      <c r="K48" t="s">
        <v>250</v>
      </c>
    </row>
    <row r="49" spans="1:11" x14ac:dyDescent="0.35">
      <c r="A49" t="s">
        <v>109</v>
      </c>
      <c r="B49" t="s">
        <v>120</v>
      </c>
      <c r="C49">
        <v>9384</v>
      </c>
      <c r="D49">
        <v>23425</v>
      </c>
      <c r="E49">
        <v>245124</v>
      </c>
      <c r="F49">
        <v>334216</v>
      </c>
      <c r="G49">
        <v>3.8282665100112599E-2</v>
      </c>
      <c r="H49">
        <v>7.0089403260167077E-2</v>
      </c>
      <c r="I49">
        <v>-3.1806738160054478E-2</v>
      </c>
      <c r="J49" t="s">
        <v>249</v>
      </c>
      <c r="K49" t="s">
        <v>250</v>
      </c>
    </row>
    <row r="50" spans="1:11" x14ac:dyDescent="0.35">
      <c r="A50" t="s">
        <v>110</v>
      </c>
      <c r="B50" t="s">
        <v>120</v>
      </c>
      <c r="C50">
        <v>8168</v>
      </c>
      <c r="D50">
        <v>24553</v>
      </c>
      <c r="E50">
        <v>158111</v>
      </c>
      <c r="F50">
        <v>256023</v>
      </c>
      <c r="G50">
        <v>5.1659909810196643E-2</v>
      </c>
      <c r="H50">
        <v>9.5901540096007001E-2</v>
      </c>
      <c r="I50">
        <v>-4.4241630285810372E-2</v>
      </c>
      <c r="J50" t="s">
        <v>249</v>
      </c>
      <c r="K50" t="s">
        <v>250</v>
      </c>
    </row>
    <row r="51" spans="1:11" x14ac:dyDescent="0.35">
      <c r="A51" t="s">
        <v>112</v>
      </c>
      <c r="B51" t="s">
        <v>120</v>
      </c>
      <c r="C51">
        <v>1951</v>
      </c>
      <c r="D51">
        <v>5702</v>
      </c>
      <c r="E51">
        <v>38937</v>
      </c>
      <c r="F51">
        <v>58782</v>
      </c>
      <c r="G51">
        <v>5.0106582428024758E-2</v>
      </c>
      <c r="H51">
        <v>9.7002483753529989E-2</v>
      </c>
      <c r="I51">
        <v>-4.6895901325505231E-2</v>
      </c>
      <c r="J51" t="s">
        <v>249</v>
      </c>
      <c r="K51" t="s">
        <v>250</v>
      </c>
    </row>
    <row r="52" spans="1:11" x14ac:dyDescent="0.35">
      <c r="A52" t="s">
        <v>114</v>
      </c>
      <c r="B52" t="s">
        <v>120</v>
      </c>
      <c r="C52">
        <v>1385</v>
      </c>
      <c r="D52">
        <v>4081</v>
      </c>
      <c r="E52">
        <v>23879</v>
      </c>
      <c r="F52">
        <v>35433</v>
      </c>
      <c r="G52">
        <v>5.80007538004104E-2</v>
      </c>
      <c r="H52">
        <v>0.1151751192391274</v>
      </c>
      <c r="I52">
        <v>-5.7174365438716963E-2</v>
      </c>
      <c r="J52" t="s">
        <v>249</v>
      </c>
      <c r="K52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E3FC-1E0C-4217-A728-FF7B0DAF0381}">
  <dimension ref="A1:F52"/>
  <sheetViews>
    <sheetView workbookViewId="0">
      <selection activeCell="E1" sqref="E1:E1048576"/>
    </sheetView>
  </sheetViews>
  <sheetFormatPr defaultColWidth="26.26953125" defaultRowHeight="14.5" x14ac:dyDescent="0.35"/>
  <sheetData>
    <row r="1" spans="1:6" s="1" customFormat="1" x14ac:dyDescent="0.35">
      <c r="A1" s="1" t="s">
        <v>116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7</v>
      </c>
    </row>
    <row r="2" spans="1:6" x14ac:dyDescent="0.35">
      <c r="A2" t="s">
        <v>10</v>
      </c>
      <c r="B2" t="s">
        <v>120</v>
      </c>
      <c r="C2">
        <v>78840.226600346024</v>
      </c>
      <c r="D2">
        <v>121705.025653223</v>
      </c>
      <c r="E2">
        <v>-0.43417693810552987</v>
      </c>
      <c r="F2" t="s">
        <v>121</v>
      </c>
    </row>
    <row r="3" spans="1:6" x14ac:dyDescent="0.35">
      <c r="A3" t="s">
        <v>14</v>
      </c>
      <c r="B3" t="s">
        <v>120</v>
      </c>
      <c r="C3">
        <v>49285.819864300633</v>
      </c>
      <c r="D3">
        <v>101966.64215736309</v>
      </c>
      <c r="E3">
        <v>-0.72700931197491037</v>
      </c>
      <c r="F3" t="s">
        <v>122</v>
      </c>
    </row>
    <row r="4" spans="1:6" x14ac:dyDescent="0.35">
      <c r="A4" t="s">
        <v>17</v>
      </c>
      <c r="B4" t="s">
        <v>120</v>
      </c>
      <c r="C4">
        <v>54158.644121260688</v>
      </c>
      <c r="D4">
        <v>85494.403730288192</v>
      </c>
      <c r="E4">
        <v>-0.45653332675166342</v>
      </c>
      <c r="F4" t="s">
        <v>123</v>
      </c>
    </row>
    <row r="5" spans="1:6" x14ac:dyDescent="0.35">
      <c r="A5" t="s">
        <v>19</v>
      </c>
      <c r="B5" t="s">
        <v>120</v>
      </c>
      <c r="C5">
        <v>76177.939810326658</v>
      </c>
      <c r="D5">
        <v>128856.2541089494</v>
      </c>
      <c r="E5">
        <v>-0.52562555684779788</v>
      </c>
      <c r="F5" t="s">
        <v>124</v>
      </c>
    </row>
    <row r="6" spans="1:6" x14ac:dyDescent="0.35">
      <c r="A6" t="s">
        <v>21</v>
      </c>
      <c r="B6" t="s">
        <v>120</v>
      </c>
      <c r="C6">
        <v>87280.426836732804</v>
      </c>
      <c r="D6">
        <v>151096.579754907</v>
      </c>
      <c r="E6">
        <v>-0.54879300144035359</v>
      </c>
      <c r="F6" t="s">
        <v>125</v>
      </c>
    </row>
    <row r="7" spans="1:6" x14ac:dyDescent="0.35">
      <c r="A7" t="s">
        <v>23</v>
      </c>
      <c r="B7" t="s">
        <v>120</v>
      </c>
      <c r="C7">
        <v>68076.396255588261</v>
      </c>
      <c r="D7">
        <v>124167.072084692</v>
      </c>
      <c r="E7">
        <v>-0.60099746535981535</v>
      </c>
      <c r="F7" t="s">
        <v>126</v>
      </c>
    </row>
    <row r="8" spans="1:6" x14ac:dyDescent="0.35">
      <c r="A8" t="s">
        <v>25</v>
      </c>
      <c r="B8" t="s">
        <v>120</v>
      </c>
      <c r="C8">
        <v>67376.035682515329</v>
      </c>
      <c r="D8">
        <v>112148.51235535801</v>
      </c>
      <c r="E8">
        <v>-0.50953459507992971</v>
      </c>
      <c r="F8" t="s">
        <v>127</v>
      </c>
    </row>
    <row r="9" spans="1:6" x14ac:dyDescent="0.35">
      <c r="A9" t="s">
        <v>27</v>
      </c>
      <c r="B9" t="s">
        <v>120</v>
      </c>
      <c r="C9">
        <v>104157.1923510972</v>
      </c>
      <c r="D9">
        <v>145822.4176353791</v>
      </c>
      <c r="E9">
        <v>-0.33648834088549762</v>
      </c>
      <c r="F9" t="s">
        <v>128</v>
      </c>
    </row>
    <row r="10" spans="1:6" x14ac:dyDescent="0.35">
      <c r="A10" t="s">
        <v>29</v>
      </c>
      <c r="B10" t="s">
        <v>120</v>
      </c>
      <c r="C10">
        <v>75928.018535745054</v>
      </c>
      <c r="D10">
        <v>115243.4879981493</v>
      </c>
      <c r="E10">
        <v>-0.41726141005971618</v>
      </c>
      <c r="F10" t="s">
        <v>129</v>
      </c>
    </row>
    <row r="11" spans="1:6" x14ac:dyDescent="0.35">
      <c r="A11" t="s">
        <v>31</v>
      </c>
      <c r="B11" t="s">
        <v>120</v>
      </c>
      <c r="C11">
        <v>55711.685851239163</v>
      </c>
      <c r="D11">
        <v>97276.196226262895</v>
      </c>
      <c r="E11">
        <v>-0.55736439138981086</v>
      </c>
      <c r="F11" t="s">
        <v>130</v>
      </c>
    </row>
    <row r="12" spans="1:6" x14ac:dyDescent="0.35">
      <c r="A12" t="s">
        <v>33</v>
      </c>
      <c r="B12" t="s">
        <v>120</v>
      </c>
      <c r="C12">
        <v>55830.869358320248</v>
      </c>
      <c r="D12">
        <v>99695.658269235908</v>
      </c>
      <c r="E12">
        <v>-0.5797951973405997</v>
      </c>
      <c r="F12" t="s">
        <v>131</v>
      </c>
    </row>
    <row r="13" spans="1:6" x14ac:dyDescent="0.35">
      <c r="A13" t="s">
        <v>35</v>
      </c>
      <c r="B13" t="s">
        <v>120</v>
      </c>
      <c r="C13">
        <v>57690.350401935248</v>
      </c>
      <c r="D13">
        <v>109576.79431311019</v>
      </c>
      <c r="E13">
        <v>-0.64153569924915266</v>
      </c>
      <c r="F13" t="s">
        <v>132</v>
      </c>
    </row>
    <row r="14" spans="1:6" x14ac:dyDescent="0.35">
      <c r="A14" t="s">
        <v>37</v>
      </c>
      <c r="B14" t="s">
        <v>120</v>
      </c>
      <c r="C14">
        <v>53416.284557936029</v>
      </c>
      <c r="D14">
        <v>82193.996261246532</v>
      </c>
      <c r="E14">
        <v>-0.4309666074648551</v>
      </c>
      <c r="F14" t="s">
        <v>133</v>
      </c>
    </row>
    <row r="15" spans="1:6" x14ac:dyDescent="0.35">
      <c r="A15" t="s">
        <v>40</v>
      </c>
      <c r="B15" t="s">
        <v>120</v>
      </c>
      <c r="C15">
        <v>58894.841220384442</v>
      </c>
      <c r="D15">
        <v>105477.67463528769</v>
      </c>
      <c r="E15">
        <v>-0.58274581426188454</v>
      </c>
      <c r="F15" t="s">
        <v>134</v>
      </c>
    </row>
    <row r="16" spans="1:6" x14ac:dyDescent="0.35">
      <c r="A16" t="s">
        <v>42</v>
      </c>
      <c r="B16" t="s">
        <v>120</v>
      </c>
      <c r="C16">
        <v>63194.724837695278</v>
      </c>
      <c r="D16">
        <v>113292.53961094491</v>
      </c>
      <c r="E16">
        <v>-0.58375248962597959</v>
      </c>
      <c r="F16" t="s">
        <v>135</v>
      </c>
    </row>
    <row r="17" spans="1:6" x14ac:dyDescent="0.35">
      <c r="A17" t="s">
        <v>44</v>
      </c>
      <c r="B17" t="s">
        <v>120</v>
      </c>
      <c r="C17">
        <v>71406.557066064837</v>
      </c>
      <c r="D17">
        <v>124654.44969618641</v>
      </c>
      <c r="E17">
        <v>-0.55715580606690618</v>
      </c>
      <c r="F17" t="s">
        <v>136</v>
      </c>
    </row>
    <row r="18" spans="1:6" x14ac:dyDescent="0.35">
      <c r="A18" t="s">
        <v>46</v>
      </c>
      <c r="B18" t="s">
        <v>120</v>
      </c>
      <c r="C18">
        <v>54603.710154999149</v>
      </c>
      <c r="D18">
        <v>95642.718175403788</v>
      </c>
      <c r="E18">
        <v>-0.56051773109275826</v>
      </c>
      <c r="F18" t="s">
        <v>137</v>
      </c>
    </row>
    <row r="19" spans="1:6" x14ac:dyDescent="0.35">
      <c r="A19" t="s">
        <v>48</v>
      </c>
      <c r="B19" t="s">
        <v>120</v>
      </c>
      <c r="C19">
        <v>69047.576403841289</v>
      </c>
      <c r="D19">
        <v>118185.3785376181</v>
      </c>
      <c r="E19">
        <v>-0.53745861619354784</v>
      </c>
      <c r="F19" t="s">
        <v>138</v>
      </c>
    </row>
    <row r="20" spans="1:6" x14ac:dyDescent="0.35">
      <c r="A20" t="s">
        <v>50</v>
      </c>
      <c r="B20" t="s">
        <v>120</v>
      </c>
      <c r="C20">
        <v>58036.739084866284</v>
      </c>
      <c r="D20">
        <v>98452.579866126733</v>
      </c>
      <c r="E20">
        <v>-0.5284987670675948</v>
      </c>
      <c r="F20" t="s">
        <v>139</v>
      </c>
    </row>
    <row r="21" spans="1:6" x14ac:dyDescent="0.35">
      <c r="A21" t="s">
        <v>52</v>
      </c>
      <c r="B21" t="s">
        <v>120</v>
      </c>
      <c r="C21">
        <v>79342.893640234674</v>
      </c>
      <c r="D21">
        <v>132392.2251982154</v>
      </c>
      <c r="E21">
        <v>-0.51199003389780462</v>
      </c>
      <c r="F21" t="s">
        <v>140</v>
      </c>
    </row>
    <row r="22" spans="1:6" x14ac:dyDescent="0.35">
      <c r="A22" t="s">
        <v>54</v>
      </c>
      <c r="B22" t="s">
        <v>120</v>
      </c>
      <c r="C22">
        <v>73619.133660820255</v>
      </c>
      <c r="D22">
        <v>129873.24579381989</v>
      </c>
      <c r="E22">
        <v>-0.56765398228047892</v>
      </c>
      <c r="F22" t="s">
        <v>141</v>
      </c>
    </row>
    <row r="23" spans="1:6" x14ac:dyDescent="0.35">
      <c r="A23" t="s">
        <v>56</v>
      </c>
      <c r="B23" t="s">
        <v>120</v>
      </c>
      <c r="C23">
        <v>61586.033166666668</v>
      </c>
      <c r="D23">
        <v>90161.371148081045</v>
      </c>
      <c r="E23">
        <v>-0.38116596703421202</v>
      </c>
      <c r="F23" t="s">
        <v>142</v>
      </c>
    </row>
    <row r="24" spans="1:6" x14ac:dyDescent="0.35">
      <c r="A24" t="s">
        <v>58</v>
      </c>
      <c r="B24" t="s">
        <v>120</v>
      </c>
      <c r="C24">
        <v>84355.233891584256</v>
      </c>
      <c r="D24">
        <v>136005.0832261235</v>
      </c>
      <c r="E24">
        <v>-0.47765540494050063</v>
      </c>
      <c r="F24" t="s">
        <v>143</v>
      </c>
    </row>
    <row r="25" spans="1:6" x14ac:dyDescent="0.35">
      <c r="A25" t="s">
        <v>60</v>
      </c>
      <c r="B25" t="s">
        <v>120</v>
      </c>
      <c r="C25">
        <v>77151.822569429947</v>
      </c>
      <c r="D25">
        <v>121367.61647682441</v>
      </c>
      <c r="E25">
        <v>-0.45304889019559219</v>
      </c>
      <c r="F25" t="s">
        <v>144</v>
      </c>
    </row>
    <row r="26" spans="1:6" x14ac:dyDescent="0.35">
      <c r="A26" t="s">
        <v>62</v>
      </c>
      <c r="B26" t="s">
        <v>120</v>
      </c>
      <c r="C26">
        <v>66230.603392106612</v>
      </c>
      <c r="D26">
        <v>107391.9985613843</v>
      </c>
      <c r="E26">
        <v>-0.48334303499763009</v>
      </c>
      <c r="F26" t="s">
        <v>145</v>
      </c>
    </row>
    <row r="27" spans="1:6" x14ac:dyDescent="0.35">
      <c r="A27" t="s">
        <v>64</v>
      </c>
      <c r="B27" t="s">
        <v>120</v>
      </c>
      <c r="C27">
        <v>38186.277810979853</v>
      </c>
      <c r="D27">
        <v>70211.128125620045</v>
      </c>
      <c r="E27">
        <v>-0.60903058730687343</v>
      </c>
      <c r="F27" t="s">
        <v>146</v>
      </c>
    </row>
    <row r="28" spans="1:6" x14ac:dyDescent="0.35">
      <c r="A28" t="s">
        <v>66</v>
      </c>
      <c r="B28" t="s">
        <v>120</v>
      </c>
      <c r="C28">
        <v>53248.519007662842</v>
      </c>
      <c r="D28">
        <v>89565.562123492025</v>
      </c>
      <c r="E28">
        <v>-0.52000090265857768</v>
      </c>
      <c r="F28" t="s">
        <v>147</v>
      </c>
    </row>
    <row r="29" spans="1:6" x14ac:dyDescent="0.35">
      <c r="A29" t="s">
        <v>68</v>
      </c>
      <c r="B29" t="s">
        <v>120</v>
      </c>
      <c r="C29">
        <v>66710.460224592229</v>
      </c>
      <c r="D29">
        <v>109368.74252791679</v>
      </c>
      <c r="E29">
        <v>-0.49436336628558958</v>
      </c>
      <c r="F29" t="s">
        <v>148</v>
      </c>
    </row>
    <row r="30" spans="1:6" x14ac:dyDescent="0.35">
      <c r="A30" t="s">
        <v>70</v>
      </c>
      <c r="B30" t="s">
        <v>120</v>
      </c>
      <c r="C30">
        <v>56763.789386298762</v>
      </c>
      <c r="D30">
        <v>93575.749800922276</v>
      </c>
      <c r="E30">
        <v>-0.49987265496609767</v>
      </c>
      <c r="F30" t="s">
        <v>149</v>
      </c>
    </row>
    <row r="31" spans="1:6" x14ac:dyDescent="0.35">
      <c r="A31" t="s">
        <v>73</v>
      </c>
      <c r="B31" t="s">
        <v>120</v>
      </c>
      <c r="C31">
        <v>43818.702419982699</v>
      </c>
      <c r="D31">
        <v>80191.609609565072</v>
      </c>
      <c r="E31">
        <v>-0.60435816892937533</v>
      </c>
      <c r="F31" t="s">
        <v>150</v>
      </c>
    </row>
    <row r="32" spans="1:6" x14ac:dyDescent="0.35">
      <c r="A32" t="s">
        <v>75</v>
      </c>
      <c r="B32" t="s">
        <v>120</v>
      </c>
      <c r="C32">
        <v>76175.699340659339</v>
      </c>
      <c r="D32">
        <v>127264.0441033926</v>
      </c>
      <c r="E32">
        <v>-0.51322151003502325</v>
      </c>
      <c r="F32" t="s">
        <v>151</v>
      </c>
    </row>
    <row r="33" spans="1:6" x14ac:dyDescent="0.35">
      <c r="A33" t="s">
        <v>77</v>
      </c>
      <c r="B33" t="s">
        <v>120</v>
      </c>
      <c r="C33">
        <v>78999.601065167677</v>
      </c>
      <c r="D33">
        <v>126163.2314383824</v>
      </c>
      <c r="E33">
        <v>-0.46813375349138209</v>
      </c>
      <c r="F33" t="s">
        <v>152</v>
      </c>
    </row>
    <row r="34" spans="1:6" x14ac:dyDescent="0.35">
      <c r="A34" t="s">
        <v>79</v>
      </c>
      <c r="B34" t="s">
        <v>120</v>
      </c>
      <c r="C34">
        <v>74190.671321961621</v>
      </c>
      <c r="D34">
        <v>121434.86090530361</v>
      </c>
      <c r="E34">
        <v>-0.49273957593264939</v>
      </c>
      <c r="F34" t="s">
        <v>153</v>
      </c>
    </row>
    <row r="35" spans="1:6" x14ac:dyDescent="0.35">
      <c r="A35" t="s">
        <v>81</v>
      </c>
      <c r="B35" t="s">
        <v>120</v>
      </c>
      <c r="C35">
        <v>65924.021966494853</v>
      </c>
      <c r="D35">
        <v>131398.19273549441</v>
      </c>
      <c r="E35">
        <v>-0.68972945545910291</v>
      </c>
      <c r="F35" t="s">
        <v>154</v>
      </c>
    </row>
    <row r="36" spans="1:6" x14ac:dyDescent="0.35">
      <c r="A36" t="s">
        <v>83</v>
      </c>
      <c r="B36" t="s">
        <v>120</v>
      </c>
      <c r="C36">
        <v>74350.620925205018</v>
      </c>
      <c r="D36">
        <v>117372.18347538231</v>
      </c>
      <c r="E36">
        <v>-0.45655791703797111</v>
      </c>
      <c r="F36" t="s">
        <v>155</v>
      </c>
    </row>
    <row r="37" spans="1:6" x14ac:dyDescent="0.35">
      <c r="A37" t="s">
        <v>85</v>
      </c>
      <c r="B37" t="s">
        <v>120</v>
      </c>
      <c r="C37">
        <v>80671.880905157843</v>
      </c>
      <c r="D37">
        <v>138864.56013683791</v>
      </c>
      <c r="E37">
        <v>-0.54310899588214279</v>
      </c>
      <c r="F37" t="s">
        <v>156</v>
      </c>
    </row>
    <row r="38" spans="1:6" x14ac:dyDescent="0.35">
      <c r="A38" t="s">
        <v>87</v>
      </c>
      <c r="B38" t="s">
        <v>120</v>
      </c>
      <c r="C38">
        <v>51644.944568421051</v>
      </c>
      <c r="D38">
        <v>96502.713380226865</v>
      </c>
      <c r="E38">
        <v>-0.62517881374080164</v>
      </c>
      <c r="F38" t="s">
        <v>157</v>
      </c>
    </row>
    <row r="39" spans="1:6" x14ac:dyDescent="0.35">
      <c r="A39" t="s">
        <v>89</v>
      </c>
      <c r="B39" t="s">
        <v>120</v>
      </c>
      <c r="C39">
        <v>73853.597994472279</v>
      </c>
      <c r="D39">
        <v>127067.3957986999</v>
      </c>
      <c r="E39">
        <v>-0.54263289318552577</v>
      </c>
      <c r="F39" t="s">
        <v>158</v>
      </c>
    </row>
    <row r="40" spans="1:6" x14ac:dyDescent="0.35">
      <c r="A40" t="s">
        <v>91</v>
      </c>
      <c r="B40" t="s">
        <v>120</v>
      </c>
      <c r="C40">
        <v>78852.622481616228</v>
      </c>
      <c r="D40">
        <v>127859.1363877168</v>
      </c>
      <c r="E40">
        <v>-0.48334858898119898</v>
      </c>
      <c r="F40" t="s">
        <v>145</v>
      </c>
    </row>
    <row r="41" spans="1:6" x14ac:dyDescent="0.35">
      <c r="A41" t="s">
        <v>93</v>
      </c>
      <c r="B41" t="s">
        <v>120</v>
      </c>
      <c r="C41">
        <v>82022.501508027519</v>
      </c>
      <c r="D41">
        <v>126934.95702796</v>
      </c>
      <c r="E41">
        <v>-0.43668118762358471</v>
      </c>
      <c r="F41" t="s">
        <v>159</v>
      </c>
    </row>
    <row r="42" spans="1:6" x14ac:dyDescent="0.35">
      <c r="A42" t="s">
        <v>95</v>
      </c>
      <c r="B42" t="s">
        <v>120</v>
      </c>
      <c r="C42">
        <v>54972.474984971093</v>
      </c>
      <c r="D42">
        <v>102474.7928622117</v>
      </c>
      <c r="E42">
        <v>-0.62278423989442055</v>
      </c>
      <c r="F42" t="s">
        <v>160</v>
      </c>
    </row>
    <row r="43" spans="1:6" x14ac:dyDescent="0.35">
      <c r="A43" t="s">
        <v>97</v>
      </c>
      <c r="B43" t="s">
        <v>120</v>
      </c>
      <c r="C43">
        <v>44484.798461114173</v>
      </c>
      <c r="D43">
        <v>82493.049731203253</v>
      </c>
      <c r="E43">
        <v>-0.61756652091377384</v>
      </c>
      <c r="F43" t="s">
        <v>161</v>
      </c>
    </row>
    <row r="44" spans="1:6" x14ac:dyDescent="0.35">
      <c r="A44" t="s">
        <v>99</v>
      </c>
      <c r="B44" t="s">
        <v>120</v>
      </c>
      <c r="C44">
        <v>52066.282976904433</v>
      </c>
      <c r="D44">
        <v>95636.017921587612</v>
      </c>
      <c r="E44">
        <v>-0.60803192609566481</v>
      </c>
      <c r="F44" t="s">
        <v>162</v>
      </c>
    </row>
    <row r="45" spans="1:6" x14ac:dyDescent="0.35">
      <c r="A45" t="s">
        <v>101</v>
      </c>
      <c r="B45" t="s">
        <v>120</v>
      </c>
      <c r="C45">
        <v>69635.529029506797</v>
      </c>
      <c r="D45">
        <v>115287.9795402646</v>
      </c>
      <c r="E45">
        <v>-0.50415825641530188</v>
      </c>
      <c r="F45" t="s">
        <v>163</v>
      </c>
    </row>
    <row r="46" spans="1:6" x14ac:dyDescent="0.35">
      <c r="A46" t="s">
        <v>103</v>
      </c>
      <c r="B46" t="s">
        <v>120</v>
      </c>
      <c r="C46">
        <v>70450.773168946864</v>
      </c>
      <c r="D46">
        <v>132046.4119407408</v>
      </c>
      <c r="E46">
        <v>-0.62823925339590314</v>
      </c>
      <c r="F46" t="s">
        <v>164</v>
      </c>
    </row>
    <row r="47" spans="1:6" x14ac:dyDescent="0.35">
      <c r="A47" t="s">
        <v>105</v>
      </c>
      <c r="B47" t="s">
        <v>120</v>
      </c>
      <c r="C47">
        <v>81554.965898507464</v>
      </c>
      <c r="D47">
        <v>129347.793323215</v>
      </c>
      <c r="E47">
        <v>-0.46122762762616809</v>
      </c>
      <c r="F47" t="s">
        <v>165</v>
      </c>
    </row>
    <row r="48" spans="1:6" x14ac:dyDescent="0.35">
      <c r="A48" t="s">
        <v>107</v>
      </c>
      <c r="B48" t="s">
        <v>120</v>
      </c>
      <c r="C48">
        <v>72141.856711538465</v>
      </c>
      <c r="D48">
        <v>110290.1218634376</v>
      </c>
      <c r="E48">
        <v>-0.42447995249478332</v>
      </c>
      <c r="F48" t="s">
        <v>166</v>
      </c>
    </row>
    <row r="49" spans="1:6" x14ac:dyDescent="0.35">
      <c r="A49" t="s">
        <v>109</v>
      </c>
      <c r="B49" t="s">
        <v>120</v>
      </c>
      <c r="C49">
        <v>74316.052510656431</v>
      </c>
      <c r="D49">
        <v>146322.81266680901</v>
      </c>
      <c r="E49">
        <v>-0.67748824827722243</v>
      </c>
      <c r="F49" t="s">
        <v>167</v>
      </c>
    </row>
    <row r="50" spans="1:6" x14ac:dyDescent="0.35">
      <c r="A50" t="s">
        <v>110</v>
      </c>
      <c r="B50" t="s">
        <v>120</v>
      </c>
      <c r="C50">
        <v>64908.319307051912</v>
      </c>
      <c r="D50">
        <v>126368.62620861</v>
      </c>
      <c r="E50">
        <v>-0.66622743848435584</v>
      </c>
      <c r="F50" t="s">
        <v>168</v>
      </c>
    </row>
    <row r="51" spans="1:6" x14ac:dyDescent="0.35">
      <c r="A51" t="s">
        <v>112</v>
      </c>
      <c r="B51" t="s">
        <v>120</v>
      </c>
      <c r="C51">
        <v>64989.570604818036</v>
      </c>
      <c r="D51">
        <v>104629.0518379516</v>
      </c>
      <c r="E51">
        <v>-0.47619445051598702</v>
      </c>
      <c r="F51" t="s">
        <v>169</v>
      </c>
    </row>
    <row r="52" spans="1:6" x14ac:dyDescent="0.35">
      <c r="A52" t="s">
        <v>114</v>
      </c>
      <c r="B52" t="s">
        <v>120</v>
      </c>
      <c r="C52">
        <v>52097.766368231038</v>
      </c>
      <c r="D52">
        <v>94530.998174467051</v>
      </c>
      <c r="E52">
        <v>-0.59580572789277508</v>
      </c>
      <c r="F52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selection sqref="A1:A1048576"/>
    </sheetView>
  </sheetViews>
  <sheetFormatPr defaultRowHeight="14.5" x14ac:dyDescent="0.35"/>
  <cols>
    <col min="1" max="1" width="19.6328125" customWidth="1"/>
    <col min="2" max="2" width="16.90625" customWidth="1"/>
    <col min="3" max="3" width="19.90625" customWidth="1"/>
    <col min="4" max="4" width="28.36328125" customWidth="1"/>
    <col min="5" max="5" width="22.54296875" customWidth="1"/>
    <col min="6" max="6" width="17.81640625" customWidth="1"/>
    <col min="7" max="7" width="15.7265625" customWidth="1"/>
    <col min="8" max="8" width="55.36328125" customWidth="1"/>
    <col min="9" max="9" width="19.453125" customWidth="1"/>
    <col min="10" max="10" width="18.0898437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2020</v>
      </c>
      <c r="C2">
        <v>-9.5198350646299057E-2</v>
      </c>
      <c r="D2">
        <v>0.393598615916955</v>
      </c>
      <c r="E2">
        <v>0.48879696656325411</v>
      </c>
      <c r="F2">
        <v>1156</v>
      </c>
      <c r="G2">
        <v>2901</v>
      </c>
      <c r="H2" t="s">
        <v>11</v>
      </c>
      <c r="I2" t="s">
        <v>12</v>
      </c>
      <c r="J2" t="s">
        <v>13</v>
      </c>
    </row>
    <row r="3" spans="1:10" x14ac:dyDescent="0.35">
      <c r="A3" t="s">
        <v>14</v>
      </c>
      <c r="B3">
        <v>2020</v>
      </c>
      <c r="C3">
        <v>-0.1549666590113539</v>
      </c>
      <c r="D3">
        <v>0.34461676110945422</v>
      </c>
      <c r="E3">
        <v>0.49958342012080809</v>
      </c>
      <c r="F3">
        <v>6706</v>
      </c>
      <c r="G3">
        <v>19204</v>
      </c>
      <c r="H3" t="s">
        <v>15</v>
      </c>
      <c r="I3" t="s">
        <v>12</v>
      </c>
      <c r="J3" t="s">
        <v>16</v>
      </c>
    </row>
    <row r="4" spans="1:10" x14ac:dyDescent="0.35">
      <c r="A4" t="s">
        <v>17</v>
      </c>
      <c r="B4">
        <v>2020</v>
      </c>
      <c r="C4">
        <v>-9.6837484837076937E-2</v>
      </c>
      <c r="D4">
        <v>0.47729700854700863</v>
      </c>
      <c r="E4">
        <v>0.57413449338408551</v>
      </c>
      <c r="F4">
        <v>3744</v>
      </c>
      <c r="G4">
        <v>11034</v>
      </c>
      <c r="H4" t="s">
        <v>18</v>
      </c>
      <c r="I4" t="s">
        <v>12</v>
      </c>
      <c r="J4" t="s">
        <v>13</v>
      </c>
    </row>
    <row r="5" spans="1:10" x14ac:dyDescent="0.35">
      <c r="A5" t="s">
        <v>19</v>
      </c>
      <c r="B5">
        <v>2020</v>
      </c>
      <c r="C5">
        <v>-0.1209601282998224</v>
      </c>
      <c r="D5">
        <v>0.22128556375131719</v>
      </c>
      <c r="E5">
        <v>0.34224569205113953</v>
      </c>
      <c r="F5">
        <v>6643</v>
      </c>
      <c r="G5">
        <v>17990</v>
      </c>
      <c r="H5" t="s">
        <v>20</v>
      </c>
      <c r="I5" t="s">
        <v>12</v>
      </c>
      <c r="J5" t="s">
        <v>16</v>
      </c>
    </row>
    <row r="6" spans="1:10" x14ac:dyDescent="0.35">
      <c r="A6" t="s">
        <v>21</v>
      </c>
      <c r="B6">
        <v>2020</v>
      </c>
      <c r="C6">
        <v>-8.2747874414712291E-2</v>
      </c>
      <c r="D6">
        <v>0.21547918412964509</v>
      </c>
      <c r="E6">
        <v>0.29822705854435738</v>
      </c>
      <c r="F6">
        <v>53685</v>
      </c>
      <c r="G6">
        <v>147495</v>
      </c>
      <c r="H6" t="s">
        <v>22</v>
      </c>
      <c r="I6" t="s">
        <v>12</v>
      </c>
      <c r="J6" t="s">
        <v>13</v>
      </c>
    </row>
    <row r="7" spans="1:10" x14ac:dyDescent="0.35">
      <c r="A7" t="s">
        <v>23</v>
      </c>
      <c r="B7">
        <v>2020</v>
      </c>
      <c r="C7">
        <v>-9.5058389249250641E-2</v>
      </c>
      <c r="D7">
        <v>0.40900665140115577</v>
      </c>
      <c r="E7">
        <v>0.50406504065040647</v>
      </c>
      <c r="F7">
        <v>9171</v>
      </c>
      <c r="G7">
        <v>23001</v>
      </c>
      <c r="H7" t="s">
        <v>24</v>
      </c>
      <c r="I7" t="s">
        <v>12</v>
      </c>
      <c r="J7" t="s">
        <v>13</v>
      </c>
    </row>
    <row r="8" spans="1:10" x14ac:dyDescent="0.35">
      <c r="A8" t="s">
        <v>25</v>
      </c>
      <c r="B8">
        <v>2020</v>
      </c>
      <c r="C8">
        <v>-0.1034176669513702</v>
      </c>
      <c r="D8">
        <v>0.27645705521472391</v>
      </c>
      <c r="E8">
        <v>0.37987472216609408</v>
      </c>
      <c r="F8">
        <v>5216</v>
      </c>
      <c r="G8">
        <v>14847</v>
      </c>
      <c r="H8" t="s">
        <v>26</v>
      </c>
      <c r="I8" t="s">
        <v>12</v>
      </c>
      <c r="J8" t="s">
        <v>16</v>
      </c>
    </row>
    <row r="9" spans="1:10" x14ac:dyDescent="0.35">
      <c r="A9" t="s">
        <v>27</v>
      </c>
      <c r="B9">
        <v>2020</v>
      </c>
      <c r="C9">
        <v>-6.8315358238176638E-2</v>
      </c>
      <c r="D9">
        <v>0.23746081504702191</v>
      </c>
      <c r="E9">
        <v>0.30577617328519863</v>
      </c>
      <c r="F9">
        <v>1276</v>
      </c>
      <c r="G9">
        <v>2770</v>
      </c>
      <c r="H9" t="s">
        <v>28</v>
      </c>
      <c r="I9" t="s">
        <v>12</v>
      </c>
      <c r="J9" t="s">
        <v>13</v>
      </c>
    </row>
    <row r="10" spans="1:10" x14ac:dyDescent="0.35">
      <c r="A10" t="s">
        <v>29</v>
      </c>
      <c r="B10">
        <v>2020</v>
      </c>
      <c r="C10">
        <v>-0.13092188497120849</v>
      </c>
      <c r="D10">
        <v>0.39190353143841522</v>
      </c>
      <c r="E10">
        <v>0.52282541640962366</v>
      </c>
      <c r="F10">
        <v>1161</v>
      </c>
      <c r="G10">
        <v>3242</v>
      </c>
      <c r="H10" t="s">
        <v>30</v>
      </c>
      <c r="I10" t="s">
        <v>12</v>
      </c>
      <c r="J10" t="s">
        <v>16</v>
      </c>
    </row>
    <row r="11" spans="1:10" x14ac:dyDescent="0.35">
      <c r="A11" t="s">
        <v>31</v>
      </c>
      <c r="B11">
        <v>2020</v>
      </c>
      <c r="C11">
        <v>-8.8547929225691879E-2</v>
      </c>
      <c r="D11">
        <v>0.23068390695315971</v>
      </c>
      <c r="E11">
        <v>0.31923183617885148</v>
      </c>
      <c r="F11">
        <v>31554</v>
      </c>
      <c r="G11">
        <v>79306</v>
      </c>
      <c r="H11" t="s">
        <v>32</v>
      </c>
      <c r="I11" t="s">
        <v>12</v>
      </c>
      <c r="J11" t="s">
        <v>13</v>
      </c>
    </row>
    <row r="12" spans="1:10" x14ac:dyDescent="0.35">
      <c r="A12" t="s">
        <v>33</v>
      </c>
      <c r="B12">
        <v>2020</v>
      </c>
      <c r="C12">
        <v>-0.15170528112385501</v>
      </c>
      <c r="D12">
        <v>0.25994243851386711</v>
      </c>
      <c r="E12">
        <v>0.41164771963772212</v>
      </c>
      <c r="F12">
        <v>15288</v>
      </c>
      <c r="G12">
        <v>37209</v>
      </c>
      <c r="H12" t="s">
        <v>34</v>
      </c>
      <c r="I12" t="s">
        <v>12</v>
      </c>
      <c r="J12" t="s">
        <v>16</v>
      </c>
    </row>
    <row r="13" spans="1:10" x14ac:dyDescent="0.35">
      <c r="A13" t="s">
        <v>35</v>
      </c>
      <c r="B13">
        <v>2020</v>
      </c>
      <c r="C13">
        <v>-0.1004737542556003</v>
      </c>
      <c r="D13">
        <v>0.43282471157424629</v>
      </c>
      <c r="E13">
        <v>0.53329846582984664</v>
      </c>
      <c r="F13">
        <v>2687</v>
      </c>
      <c r="G13">
        <v>5736</v>
      </c>
      <c r="H13" t="s">
        <v>36</v>
      </c>
      <c r="I13" t="s">
        <v>12</v>
      </c>
      <c r="J13" t="s">
        <v>16</v>
      </c>
    </row>
    <row r="14" spans="1:10" x14ac:dyDescent="0.35">
      <c r="A14" t="s">
        <v>37</v>
      </c>
      <c r="B14">
        <v>2020</v>
      </c>
      <c r="C14">
        <v>-4.9841765044389807E-2</v>
      </c>
      <c r="D14">
        <v>0.47948098974049491</v>
      </c>
      <c r="E14">
        <v>0.52932275478488466</v>
      </c>
      <c r="F14">
        <v>6628</v>
      </c>
      <c r="G14">
        <v>24452</v>
      </c>
      <c r="H14" t="s">
        <v>38</v>
      </c>
      <c r="I14" t="s">
        <v>12</v>
      </c>
      <c r="J14" t="s">
        <v>39</v>
      </c>
    </row>
    <row r="15" spans="1:10" x14ac:dyDescent="0.35">
      <c r="A15" t="s">
        <v>40</v>
      </c>
      <c r="B15">
        <v>2020</v>
      </c>
      <c r="C15">
        <v>-0.1095055002318808</v>
      </c>
      <c r="D15">
        <v>0.45105051408135899</v>
      </c>
      <c r="E15">
        <v>0.56055601431323976</v>
      </c>
      <c r="F15">
        <v>2237</v>
      </c>
      <c r="G15">
        <v>7266</v>
      </c>
      <c r="H15" t="s">
        <v>41</v>
      </c>
      <c r="I15" t="s">
        <v>12</v>
      </c>
      <c r="J15" t="s">
        <v>16</v>
      </c>
    </row>
    <row r="16" spans="1:10" x14ac:dyDescent="0.35">
      <c r="A16" t="s">
        <v>42</v>
      </c>
      <c r="B16">
        <v>2020</v>
      </c>
      <c r="C16">
        <v>-0.11716141371688581</v>
      </c>
      <c r="D16">
        <v>0.32171840129843782</v>
      </c>
      <c r="E16">
        <v>0.43887981501532358</v>
      </c>
      <c r="F16">
        <v>19716</v>
      </c>
      <c r="G16">
        <v>54491</v>
      </c>
      <c r="H16" t="s">
        <v>43</v>
      </c>
      <c r="I16" t="s">
        <v>12</v>
      </c>
      <c r="J16" t="s">
        <v>16</v>
      </c>
    </row>
    <row r="17" spans="1:10" x14ac:dyDescent="0.35">
      <c r="A17" t="s">
        <v>44</v>
      </c>
      <c r="B17">
        <v>2020</v>
      </c>
      <c r="C17">
        <v>-0.1020262652581972</v>
      </c>
      <c r="D17">
        <v>0.43345643550813839</v>
      </c>
      <c r="E17">
        <v>0.53548270076633564</v>
      </c>
      <c r="F17">
        <v>7311</v>
      </c>
      <c r="G17">
        <v>22053</v>
      </c>
      <c r="H17" t="s">
        <v>45</v>
      </c>
      <c r="I17" t="s">
        <v>12</v>
      </c>
      <c r="J17" t="s">
        <v>16</v>
      </c>
    </row>
    <row r="18" spans="1:10" x14ac:dyDescent="0.35">
      <c r="A18" t="s">
        <v>46</v>
      </c>
      <c r="B18">
        <v>2020</v>
      </c>
      <c r="C18">
        <v>-7.6309441932703559E-2</v>
      </c>
      <c r="D18">
        <v>0.48611820814171353</v>
      </c>
      <c r="E18">
        <v>0.56242765007441708</v>
      </c>
      <c r="F18">
        <v>5871</v>
      </c>
      <c r="G18">
        <v>18141</v>
      </c>
      <c r="H18" t="s">
        <v>47</v>
      </c>
      <c r="I18" t="s">
        <v>12</v>
      </c>
      <c r="J18" t="s">
        <v>13</v>
      </c>
    </row>
    <row r="19" spans="1:10" x14ac:dyDescent="0.35">
      <c r="A19" t="s">
        <v>48</v>
      </c>
      <c r="B19">
        <v>2020</v>
      </c>
      <c r="C19">
        <v>-9.6160722091405082E-2</v>
      </c>
      <c r="D19">
        <v>0.49355572403335862</v>
      </c>
      <c r="E19">
        <v>0.5897164461247637</v>
      </c>
      <c r="F19">
        <v>3957</v>
      </c>
      <c r="G19">
        <v>13225</v>
      </c>
      <c r="H19" t="s">
        <v>49</v>
      </c>
      <c r="I19" t="s">
        <v>12</v>
      </c>
      <c r="J19" t="s">
        <v>13</v>
      </c>
    </row>
    <row r="20" spans="1:10" x14ac:dyDescent="0.35">
      <c r="A20" t="s">
        <v>50</v>
      </c>
      <c r="B20">
        <v>2020</v>
      </c>
      <c r="C20">
        <v>-0.11103094311853851</v>
      </c>
      <c r="D20">
        <v>0.28582470242695929</v>
      </c>
      <c r="E20">
        <v>0.39685564554549779</v>
      </c>
      <c r="F20">
        <v>6469</v>
      </c>
      <c r="G20">
        <v>20990</v>
      </c>
      <c r="H20" t="s">
        <v>51</v>
      </c>
      <c r="I20" t="s">
        <v>12</v>
      </c>
      <c r="J20" t="s">
        <v>16</v>
      </c>
    </row>
    <row r="21" spans="1:10" x14ac:dyDescent="0.35">
      <c r="A21" t="s">
        <v>52</v>
      </c>
      <c r="B21">
        <v>2020</v>
      </c>
      <c r="C21">
        <v>-9.4921486947379896E-2</v>
      </c>
      <c r="D21">
        <v>0.40319833459500382</v>
      </c>
      <c r="E21">
        <v>0.49811982154238371</v>
      </c>
      <c r="F21">
        <v>10568</v>
      </c>
      <c r="G21">
        <v>31380</v>
      </c>
      <c r="H21" t="s">
        <v>53</v>
      </c>
      <c r="I21" t="s">
        <v>12</v>
      </c>
      <c r="J21" t="s">
        <v>13</v>
      </c>
    </row>
    <row r="22" spans="1:10" x14ac:dyDescent="0.35">
      <c r="A22" t="s">
        <v>54</v>
      </c>
      <c r="B22">
        <v>2020</v>
      </c>
      <c r="C22">
        <v>-0.11316718670334221</v>
      </c>
      <c r="D22">
        <v>0.30212317024924168</v>
      </c>
      <c r="E22">
        <v>0.41529035695258387</v>
      </c>
      <c r="F22">
        <v>7583</v>
      </c>
      <c r="G22">
        <v>18770</v>
      </c>
      <c r="H22" t="s">
        <v>55</v>
      </c>
      <c r="I22" t="s">
        <v>12</v>
      </c>
      <c r="J22" t="s">
        <v>16</v>
      </c>
    </row>
    <row r="23" spans="1:10" x14ac:dyDescent="0.35">
      <c r="A23" t="s">
        <v>56</v>
      </c>
      <c r="B23">
        <v>2020</v>
      </c>
      <c r="C23">
        <v>-0.10013993568597419</v>
      </c>
      <c r="D23">
        <v>0.52792792792792798</v>
      </c>
      <c r="E23">
        <v>0.62806786361390221</v>
      </c>
      <c r="F23">
        <v>2220</v>
      </c>
      <c r="G23">
        <v>6071</v>
      </c>
      <c r="H23" t="s">
        <v>57</v>
      </c>
      <c r="I23" t="s">
        <v>12</v>
      </c>
      <c r="J23" t="s">
        <v>16</v>
      </c>
    </row>
    <row r="24" spans="1:10" x14ac:dyDescent="0.35">
      <c r="A24" t="s">
        <v>58</v>
      </c>
      <c r="B24">
        <v>2020</v>
      </c>
      <c r="C24">
        <v>-8.6136262700419686E-2</v>
      </c>
      <c r="D24">
        <v>0.36956521739130432</v>
      </c>
      <c r="E24">
        <v>0.45570148009172401</v>
      </c>
      <c r="F24">
        <v>10718</v>
      </c>
      <c r="G24">
        <v>33579</v>
      </c>
      <c r="H24" t="s">
        <v>59</v>
      </c>
      <c r="I24" t="s">
        <v>12</v>
      </c>
      <c r="J24" t="s">
        <v>13</v>
      </c>
    </row>
    <row r="25" spans="1:10" x14ac:dyDescent="0.35">
      <c r="A25" t="s">
        <v>60</v>
      </c>
      <c r="B25">
        <v>2020</v>
      </c>
      <c r="C25">
        <v>-7.1642430384720401E-2</v>
      </c>
      <c r="D25">
        <v>0.49363123825433292</v>
      </c>
      <c r="E25">
        <v>0.56527366863905326</v>
      </c>
      <c r="F25">
        <v>9578</v>
      </c>
      <c r="G25">
        <v>32448</v>
      </c>
      <c r="H25" t="s">
        <v>61</v>
      </c>
      <c r="I25" t="s">
        <v>12</v>
      </c>
      <c r="J25" t="s">
        <v>13</v>
      </c>
    </row>
    <row r="26" spans="1:10" x14ac:dyDescent="0.35">
      <c r="A26" t="s">
        <v>62</v>
      </c>
      <c r="B26">
        <v>2020</v>
      </c>
      <c r="C26">
        <v>-8.7137286095869793E-2</v>
      </c>
      <c r="D26">
        <v>0.49912865197334699</v>
      </c>
      <c r="E26">
        <v>0.58626593806921679</v>
      </c>
      <c r="F26">
        <v>9755</v>
      </c>
      <c r="G26">
        <v>27450</v>
      </c>
      <c r="H26" t="s">
        <v>63</v>
      </c>
      <c r="I26" t="s">
        <v>12</v>
      </c>
      <c r="J26" t="s">
        <v>13</v>
      </c>
    </row>
    <row r="27" spans="1:10" x14ac:dyDescent="0.35">
      <c r="A27" t="s">
        <v>64</v>
      </c>
      <c r="B27">
        <v>2020</v>
      </c>
      <c r="C27">
        <v>-0.1217299908584004</v>
      </c>
      <c r="D27">
        <v>0.3695274496177901</v>
      </c>
      <c r="E27">
        <v>0.49125744047619052</v>
      </c>
      <c r="F27">
        <v>5756</v>
      </c>
      <c r="G27">
        <v>16128</v>
      </c>
      <c r="H27" t="s">
        <v>65</v>
      </c>
      <c r="I27" t="s">
        <v>12</v>
      </c>
      <c r="J27" t="s">
        <v>16</v>
      </c>
    </row>
    <row r="28" spans="1:10" x14ac:dyDescent="0.35">
      <c r="A28" t="s">
        <v>66</v>
      </c>
      <c r="B28">
        <v>2020</v>
      </c>
      <c r="C28">
        <v>-7.734279831157187E-2</v>
      </c>
      <c r="D28">
        <v>0.58045977011494254</v>
      </c>
      <c r="E28">
        <v>0.65780256842651441</v>
      </c>
      <c r="F28">
        <v>2610</v>
      </c>
      <c r="G28">
        <v>7709</v>
      </c>
      <c r="H28" t="s">
        <v>67</v>
      </c>
      <c r="I28" t="s">
        <v>12</v>
      </c>
      <c r="J28" t="s">
        <v>13</v>
      </c>
    </row>
    <row r="29" spans="1:10" x14ac:dyDescent="0.35">
      <c r="A29" t="s">
        <v>68</v>
      </c>
      <c r="B29">
        <v>2020</v>
      </c>
      <c r="C29">
        <v>-0.102370424034295</v>
      </c>
      <c r="D29">
        <v>0.31392722710163112</v>
      </c>
      <c r="E29">
        <v>0.41629765113592609</v>
      </c>
      <c r="F29">
        <v>7970</v>
      </c>
      <c r="G29">
        <v>20776</v>
      </c>
      <c r="H29" t="s">
        <v>69</v>
      </c>
      <c r="I29" t="s">
        <v>12</v>
      </c>
      <c r="J29" t="s">
        <v>16</v>
      </c>
    </row>
    <row r="30" spans="1:10" x14ac:dyDescent="0.35">
      <c r="A30" t="s">
        <v>70</v>
      </c>
      <c r="B30">
        <v>2020</v>
      </c>
      <c r="C30">
        <v>-7.8873631927259824E-3</v>
      </c>
      <c r="D30">
        <v>0.57944814462416749</v>
      </c>
      <c r="E30">
        <v>0.58733550781689348</v>
      </c>
      <c r="F30">
        <v>2102</v>
      </c>
      <c r="G30">
        <v>8891</v>
      </c>
      <c r="H30" t="s">
        <v>71</v>
      </c>
      <c r="I30" t="s">
        <v>12</v>
      </c>
      <c r="J30" t="s">
        <v>72</v>
      </c>
    </row>
    <row r="31" spans="1:10" x14ac:dyDescent="0.35">
      <c r="A31" t="s">
        <v>73</v>
      </c>
      <c r="B31">
        <v>2020</v>
      </c>
      <c r="C31">
        <v>-7.5835352797249289E-2</v>
      </c>
      <c r="D31">
        <v>0.50216262975778547</v>
      </c>
      <c r="E31">
        <v>0.57799798255503476</v>
      </c>
      <c r="F31">
        <v>4624</v>
      </c>
      <c r="G31">
        <v>16853</v>
      </c>
      <c r="H31" t="s">
        <v>74</v>
      </c>
      <c r="I31" t="s">
        <v>12</v>
      </c>
      <c r="J31" t="s">
        <v>13</v>
      </c>
    </row>
    <row r="32" spans="1:10" x14ac:dyDescent="0.35">
      <c r="A32" t="s">
        <v>75</v>
      </c>
      <c r="B32">
        <v>2020</v>
      </c>
      <c r="C32">
        <v>-0.1120309415947542</v>
      </c>
      <c r="D32">
        <v>0.44605394605394599</v>
      </c>
      <c r="E32">
        <v>0.55808488764870023</v>
      </c>
      <c r="F32">
        <v>2002</v>
      </c>
      <c r="G32">
        <v>6809</v>
      </c>
      <c r="H32" t="s">
        <v>76</v>
      </c>
      <c r="I32" t="s">
        <v>12</v>
      </c>
      <c r="J32" t="s">
        <v>16</v>
      </c>
    </row>
    <row r="33" spans="1:10" x14ac:dyDescent="0.35">
      <c r="A33" t="s">
        <v>77</v>
      </c>
      <c r="B33">
        <v>2020</v>
      </c>
      <c r="C33">
        <v>-9.114004559736219E-2</v>
      </c>
      <c r="D33">
        <v>0.21274771341463411</v>
      </c>
      <c r="E33">
        <v>0.30388775901199627</v>
      </c>
      <c r="F33">
        <v>10496</v>
      </c>
      <c r="G33">
        <v>33927</v>
      </c>
      <c r="H33" t="s">
        <v>78</v>
      </c>
      <c r="I33" t="s">
        <v>12</v>
      </c>
      <c r="J33" t="s">
        <v>13</v>
      </c>
    </row>
    <row r="34" spans="1:10" x14ac:dyDescent="0.35">
      <c r="A34" t="s">
        <v>79</v>
      </c>
      <c r="B34">
        <v>2020</v>
      </c>
      <c r="C34">
        <v>-7.5370554921047939E-2</v>
      </c>
      <c r="D34">
        <v>0.40980810234541581</v>
      </c>
      <c r="E34">
        <v>0.4851786572664637</v>
      </c>
      <c r="F34">
        <v>2345</v>
      </c>
      <c r="G34">
        <v>6241</v>
      </c>
      <c r="H34" t="s">
        <v>80</v>
      </c>
      <c r="I34" t="s">
        <v>12</v>
      </c>
      <c r="J34" t="s">
        <v>13</v>
      </c>
    </row>
    <row r="35" spans="1:10" x14ac:dyDescent="0.35">
      <c r="A35" t="s">
        <v>81</v>
      </c>
      <c r="B35">
        <v>2020</v>
      </c>
      <c r="C35">
        <v>-9.2471351184870376E-2</v>
      </c>
      <c r="D35">
        <v>0.21623711340206189</v>
      </c>
      <c r="E35">
        <v>0.30870846458693219</v>
      </c>
      <c r="F35">
        <v>3880</v>
      </c>
      <c r="G35">
        <v>9841</v>
      </c>
      <c r="H35" t="s">
        <v>82</v>
      </c>
      <c r="I35" t="s">
        <v>12</v>
      </c>
      <c r="J35" t="s">
        <v>13</v>
      </c>
    </row>
    <row r="36" spans="1:10" x14ac:dyDescent="0.35">
      <c r="A36" t="s">
        <v>83</v>
      </c>
      <c r="B36">
        <v>2020</v>
      </c>
      <c r="C36">
        <v>-6.6798976342859279E-2</v>
      </c>
      <c r="D36">
        <v>0.24694810839411921</v>
      </c>
      <c r="E36">
        <v>0.31374708473697849</v>
      </c>
      <c r="F36">
        <v>26459</v>
      </c>
      <c r="G36">
        <v>77180</v>
      </c>
      <c r="H36" t="s">
        <v>84</v>
      </c>
      <c r="I36" t="s">
        <v>12</v>
      </c>
      <c r="J36" t="s">
        <v>13</v>
      </c>
    </row>
    <row r="37" spans="1:10" x14ac:dyDescent="0.35">
      <c r="A37" t="s">
        <v>85</v>
      </c>
      <c r="B37">
        <v>2020</v>
      </c>
      <c r="C37">
        <v>-0.10462580905720791</v>
      </c>
      <c r="D37">
        <v>0.43317785439059009</v>
      </c>
      <c r="E37">
        <v>0.53780366344779806</v>
      </c>
      <c r="F37">
        <v>14793</v>
      </c>
      <c r="G37">
        <v>46186</v>
      </c>
      <c r="H37" t="s">
        <v>86</v>
      </c>
      <c r="I37" t="s">
        <v>12</v>
      </c>
      <c r="J37" t="s">
        <v>16</v>
      </c>
    </row>
    <row r="38" spans="1:10" x14ac:dyDescent="0.35">
      <c r="A38" t="s">
        <v>87</v>
      </c>
      <c r="B38">
        <v>2020</v>
      </c>
      <c r="C38">
        <v>-0.13780058207385429</v>
      </c>
      <c r="D38">
        <v>0.48097165991902829</v>
      </c>
      <c r="E38">
        <v>0.61877224199288261</v>
      </c>
      <c r="F38">
        <v>6175</v>
      </c>
      <c r="G38">
        <v>17984</v>
      </c>
      <c r="H38" t="s">
        <v>88</v>
      </c>
      <c r="I38" t="s">
        <v>12</v>
      </c>
      <c r="J38" t="s">
        <v>16</v>
      </c>
    </row>
    <row r="39" spans="1:10" x14ac:dyDescent="0.35">
      <c r="A39" t="s">
        <v>89</v>
      </c>
      <c r="B39">
        <v>2020</v>
      </c>
      <c r="C39">
        <v>-9.4541708444680239E-2</v>
      </c>
      <c r="D39">
        <v>0.29797892554845401</v>
      </c>
      <c r="E39">
        <v>0.39252063399313419</v>
      </c>
      <c r="F39">
        <v>5789</v>
      </c>
      <c r="G39">
        <v>13691</v>
      </c>
      <c r="H39" t="s">
        <v>90</v>
      </c>
      <c r="I39" t="s">
        <v>12</v>
      </c>
      <c r="J39" t="s">
        <v>13</v>
      </c>
    </row>
    <row r="40" spans="1:10" x14ac:dyDescent="0.35">
      <c r="A40" t="s">
        <v>91</v>
      </c>
      <c r="B40">
        <v>2020</v>
      </c>
      <c r="C40">
        <v>-8.8963890062652484E-2</v>
      </c>
      <c r="D40">
        <v>0.4172923600897902</v>
      </c>
      <c r="E40">
        <v>0.50625625015244269</v>
      </c>
      <c r="F40">
        <v>12919</v>
      </c>
      <c r="G40">
        <v>40999</v>
      </c>
      <c r="H40" t="s">
        <v>92</v>
      </c>
      <c r="I40" t="s">
        <v>12</v>
      </c>
      <c r="J40" t="s">
        <v>13</v>
      </c>
    </row>
    <row r="41" spans="1:10" x14ac:dyDescent="0.35">
      <c r="A41" t="s">
        <v>93</v>
      </c>
      <c r="B41">
        <v>2020</v>
      </c>
      <c r="C41">
        <v>-0.10104944849622979</v>
      </c>
      <c r="D41">
        <v>0.43864678899082571</v>
      </c>
      <c r="E41">
        <v>0.53969623748705553</v>
      </c>
      <c r="F41">
        <v>1744</v>
      </c>
      <c r="G41">
        <v>5794</v>
      </c>
      <c r="H41" t="s">
        <v>94</v>
      </c>
      <c r="I41" t="s">
        <v>12</v>
      </c>
      <c r="J41" t="s">
        <v>16</v>
      </c>
    </row>
    <row r="42" spans="1:10" x14ac:dyDescent="0.35">
      <c r="A42" t="s">
        <v>95</v>
      </c>
      <c r="B42">
        <v>2020</v>
      </c>
      <c r="C42">
        <v>-0.14271937556432479</v>
      </c>
      <c r="D42">
        <v>0.32809248554913301</v>
      </c>
      <c r="E42">
        <v>0.4708118611134578</v>
      </c>
      <c r="F42">
        <v>4325</v>
      </c>
      <c r="G42">
        <v>11837</v>
      </c>
      <c r="H42" t="s">
        <v>96</v>
      </c>
      <c r="I42" t="s">
        <v>12</v>
      </c>
      <c r="J42" t="s">
        <v>16</v>
      </c>
    </row>
    <row r="43" spans="1:10" x14ac:dyDescent="0.35">
      <c r="A43" t="s">
        <v>97</v>
      </c>
      <c r="B43">
        <v>2020</v>
      </c>
      <c r="C43">
        <v>-3.0012173467044989E-2</v>
      </c>
      <c r="D43">
        <v>0.54219525648097078</v>
      </c>
      <c r="E43">
        <v>0.57220742994801577</v>
      </c>
      <c r="F43">
        <v>1813</v>
      </c>
      <c r="G43">
        <v>7887</v>
      </c>
      <c r="H43" t="s">
        <v>98</v>
      </c>
      <c r="I43" t="s">
        <v>12</v>
      </c>
      <c r="J43" t="s">
        <v>39</v>
      </c>
    </row>
    <row r="44" spans="1:10" x14ac:dyDescent="0.35">
      <c r="A44" t="s">
        <v>99</v>
      </c>
      <c r="B44">
        <v>2020</v>
      </c>
      <c r="C44">
        <v>-0.1190178183983662</v>
      </c>
      <c r="D44">
        <v>0.30687763174684191</v>
      </c>
      <c r="E44">
        <v>0.42589545014520808</v>
      </c>
      <c r="F44">
        <v>7837</v>
      </c>
      <c r="G44">
        <v>20660</v>
      </c>
      <c r="H44" t="s">
        <v>100</v>
      </c>
      <c r="I44" t="s">
        <v>12</v>
      </c>
      <c r="J44" t="s">
        <v>16</v>
      </c>
    </row>
    <row r="45" spans="1:10" x14ac:dyDescent="0.35">
      <c r="A45" t="s">
        <v>101</v>
      </c>
      <c r="B45">
        <v>2020</v>
      </c>
      <c r="C45">
        <v>-0.11043334959287231</v>
      </c>
      <c r="D45">
        <v>0.32603167876251521</v>
      </c>
      <c r="E45">
        <v>0.43646502835538747</v>
      </c>
      <c r="F45">
        <v>37754</v>
      </c>
      <c r="G45">
        <v>105800</v>
      </c>
      <c r="H45" t="s">
        <v>102</v>
      </c>
      <c r="I45" t="s">
        <v>12</v>
      </c>
      <c r="J45" t="s">
        <v>16</v>
      </c>
    </row>
    <row r="46" spans="1:10" x14ac:dyDescent="0.35">
      <c r="A46" t="s">
        <v>103</v>
      </c>
      <c r="B46">
        <v>2020</v>
      </c>
      <c r="C46">
        <v>-8.1899734074938169E-2</v>
      </c>
      <c r="D46">
        <v>0.44670696786509712</v>
      </c>
      <c r="E46">
        <v>0.52860670194003523</v>
      </c>
      <c r="F46">
        <v>3143</v>
      </c>
      <c r="G46">
        <v>14175</v>
      </c>
      <c r="H46" t="s">
        <v>104</v>
      </c>
      <c r="I46" t="s">
        <v>12</v>
      </c>
      <c r="J46" t="s">
        <v>13</v>
      </c>
    </row>
    <row r="47" spans="1:10" x14ac:dyDescent="0.35">
      <c r="A47" t="s">
        <v>105</v>
      </c>
      <c r="B47">
        <v>2020</v>
      </c>
      <c r="C47">
        <v>-0.1043062055434849</v>
      </c>
      <c r="D47">
        <v>0.3613134328358209</v>
      </c>
      <c r="E47">
        <v>0.46561963837930581</v>
      </c>
      <c r="F47">
        <v>8375</v>
      </c>
      <c r="G47">
        <v>22731</v>
      </c>
      <c r="H47" t="s">
        <v>106</v>
      </c>
      <c r="I47" t="s">
        <v>12</v>
      </c>
      <c r="J47" t="s">
        <v>16</v>
      </c>
    </row>
    <row r="48" spans="1:10" x14ac:dyDescent="0.35">
      <c r="A48" t="s">
        <v>107</v>
      </c>
      <c r="B48">
        <v>2020</v>
      </c>
      <c r="C48">
        <v>-7.5715089653031198E-2</v>
      </c>
      <c r="D48">
        <v>0.57211538461538458</v>
      </c>
      <c r="E48">
        <v>0.64783047426841578</v>
      </c>
      <c r="F48">
        <v>1040</v>
      </c>
      <c r="G48">
        <v>2973</v>
      </c>
      <c r="H48" t="s">
        <v>108</v>
      </c>
      <c r="I48" t="s">
        <v>12</v>
      </c>
      <c r="J48" t="s">
        <v>13</v>
      </c>
    </row>
    <row r="49" spans="1:10" x14ac:dyDescent="0.35">
      <c r="A49" t="s">
        <v>109</v>
      </c>
      <c r="B49">
        <v>2020</v>
      </c>
      <c r="C49">
        <v>-9.4925348079930749E-2</v>
      </c>
      <c r="D49">
        <v>0.28932225063938621</v>
      </c>
      <c r="E49">
        <v>0.38424759871931702</v>
      </c>
      <c r="F49">
        <v>9384</v>
      </c>
      <c r="G49">
        <v>23425</v>
      </c>
      <c r="H49" t="s">
        <v>53</v>
      </c>
      <c r="I49" t="s">
        <v>12</v>
      </c>
      <c r="J49" t="s">
        <v>13</v>
      </c>
    </row>
    <row r="50" spans="1:10" x14ac:dyDescent="0.35">
      <c r="A50" t="s">
        <v>110</v>
      </c>
      <c r="B50">
        <v>2020</v>
      </c>
      <c r="C50">
        <v>-0.1279931502393053</v>
      </c>
      <c r="D50">
        <v>0.47722820763956902</v>
      </c>
      <c r="E50">
        <v>0.60522135787887432</v>
      </c>
      <c r="F50">
        <v>8168</v>
      </c>
      <c r="G50">
        <v>24553</v>
      </c>
      <c r="H50" t="s">
        <v>111</v>
      </c>
      <c r="I50" t="s">
        <v>12</v>
      </c>
      <c r="J50" t="s">
        <v>16</v>
      </c>
    </row>
    <row r="51" spans="1:10" x14ac:dyDescent="0.35">
      <c r="A51" t="s">
        <v>112</v>
      </c>
      <c r="B51">
        <v>2020</v>
      </c>
      <c r="C51">
        <v>-6.7728175803502932E-2</v>
      </c>
      <c r="D51">
        <v>0.45156330087134811</v>
      </c>
      <c r="E51">
        <v>0.51929147667485098</v>
      </c>
      <c r="F51">
        <v>1951</v>
      </c>
      <c r="G51">
        <v>5702</v>
      </c>
      <c r="H51" t="s">
        <v>113</v>
      </c>
      <c r="I51" t="s">
        <v>12</v>
      </c>
      <c r="J51" t="s">
        <v>13</v>
      </c>
    </row>
    <row r="52" spans="1:10" x14ac:dyDescent="0.35">
      <c r="A52" t="s">
        <v>114</v>
      </c>
      <c r="B52">
        <v>2020</v>
      </c>
      <c r="C52">
        <v>-9.5563751009565379E-2</v>
      </c>
      <c r="D52">
        <v>0.56750902527075808</v>
      </c>
      <c r="E52">
        <v>0.66307277628032346</v>
      </c>
      <c r="F52">
        <v>1385</v>
      </c>
      <c r="G52">
        <v>4081</v>
      </c>
      <c r="H52" t="s">
        <v>115</v>
      </c>
      <c r="I52" t="s">
        <v>12</v>
      </c>
      <c r="J5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568A-A533-4E4F-BADA-309CDD86A9DF}">
  <dimension ref="A1:P54"/>
  <sheetViews>
    <sheetView workbookViewId="0">
      <selection activeCell="E1" sqref="E1"/>
    </sheetView>
  </sheetViews>
  <sheetFormatPr defaultRowHeight="14.5" x14ac:dyDescent="0.35"/>
  <cols>
    <col min="1" max="1" width="21.90625" customWidth="1"/>
    <col min="2" max="2" width="18.08984375" customWidth="1"/>
    <col min="3" max="3" width="28" customWidth="1"/>
    <col min="4" max="4" width="24.453125" customWidth="1"/>
    <col min="5" max="5" width="19" customWidth="1"/>
    <col min="6" max="6" width="16.90625" customWidth="1"/>
    <col min="7" max="7" width="18.81640625" customWidth="1"/>
    <col min="8" max="8" width="15.54296875" customWidth="1"/>
    <col min="10" max="10" width="17.453125" customWidth="1"/>
    <col min="12" max="12" width="18.26953125" customWidth="1"/>
  </cols>
  <sheetData>
    <row r="1" spans="1:16" s="34" customFormat="1" x14ac:dyDescent="0.35">
      <c r="A1" s="33" t="s">
        <v>172</v>
      </c>
    </row>
    <row r="2" spans="1:16" s="34" customFormat="1" x14ac:dyDescent="0.35">
      <c r="A2" s="35" t="s">
        <v>184</v>
      </c>
      <c r="B2" s="35" t="s">
        <v>185</v>
      </c>
      <c r="C2" s="35" t="s">
        <v>5</v>
      </c>
      <c r="D2" s="35" t="s">
        <v>6</v>
      </c>
      <c r="E2" s="35" t="s">
        <v>171</v>
      </c>
      <c r="F2" s="35" t="s">
        <v>1</v>
      </c>
      <c r="G2" s="35"/>
      <c r="H2" s="35"/>
      <c r="I2" s="35"/>
    </row>
    <row r="3" spans="1:16" s="34" customFormat="1" x14ac:dyDescent="0.35">
      <c r="A3" s="34">
        <v>0.33602608913174692</v>
      </c>
      <c r="B3" s="34">
        <v>0.43900154180997608</v>
      </c>
      <c r="C3" s="34">
        <v>435737</v>
      </c>
      <c r="D3" s="34">
        <v>1247884</v>
      </c>
      <c r="E3" s="34">
        <v>-0.1029754526782292</v>
      </c>
      <c r="F3" s="34">
        <v>2020</v>
      </c>
      <c r="H3" s="36" t="s">
        <v>186</v>
      </c>
      <c r="I3" s="36"/>
      <c r="J3" s="36"/>
      <c r="K3" s="36"/>
      <c r="L3" s="36"/>
      <c r="M3" s="36"/>
      <c r="N3" s="36"/>
      <c r="O3" s="36"/>
      <c r="P3" s="36"/>
    </row>
    <row r="4" spans="1:16" s="34" customFormat="1" x14ac:dyDescent="0.35">
      <c r="A4" s="34">
        <v>6.2035852001848572E-2</v>
      </c>
      <c r="B4" s="34">
        <v>0.1001778827398847</v>
      </c>
      <c r="C4" s="34">
        <v>1088419</v>
      </c>
      <c r="D4" s="34">
        <v>1712364</v>
      </c>
      <c r="E4" s="34">
        <v>-3.8142030738036091E-2</v>
      </c>
      <c r="F4" s="34">
        <v>2021</v>
      </c>
    </row>
    <row r="5" spans="1:16" s="34" customFormat="1" x14ac:dyDescent="0.35"/>
    <row r="6" spans="1:16" s="34" customFormat="1" x14ac:dyDescent="0.35">
      <c r="A6" s="34" t="s">
        <v>173</v>
      </c>
      <c r="B6" s="34">
        <f>E4-E3</f>
        <v>6.483342194019312E-2</v>
      </c>
    </row>
    <row r="7" spans="1:16" s="34" customFormat="1" x14ac:dyDescent="0.35"/>
    <row r="8" spans="1:16" s="34" customFormat="1" x14ac:dyDescent="0.35">
      <c r="A8" s="34" t="s">
        <v>174</v>
      </c>
    </row>
    <row r="10" spans="1:16" s="38" customFormat="1" x14ac:dyDescent="0.35">
      <c r="A10" s="37" t="s">
        <v>175</v>
      </c>
    </row>
    <row r="11" spans="1:16" s="38" customFormat="1" x14ac:dyDescent="0.35"/>
    <row r="12" spans="1:16" s="39" customFormat="1" x14ac:dyDescent="0.35">
      <c r="A12" s="39" t="s">
        <v>1</v>
      </c>
      <c r="B12" s="39" t="s">
        <v>176</v>
      </c>
      <c r="C12" s="39" t="s">
        <v>177</v>
      </c>
      <c r="D12" s="39" t="s">
        <v>178</v>
      </c>
      <c r="E12" s="39" t="s">
        <v>179</v>
      </c>
      <c r="F12" s="39" t="s">
        <v>180</v>
      </c>
      <c r="G12" s="39" t="s">
        <v>181</v>
      </c>
      <c r="H12" s="39" t="s">
        <v>182</v>
      </c>
    </row>
    <row r="13" spans="1:16" s="38" customFormat="1" x14ac:dyDescent="0.35">
      <c r="A13" s="38" t="s">
        <v>120</v>
      </c>
      <c r="B13" s="38">
        <v>-0.53435745868876028</v>
      </c>
      <c r="C13" s="38">
        <v>-0.5284987670675948</v>
      </c>
      <c r="D13" s="38">
        <v>0</v>
      </c>
      <c r="E13" s="38">
        <v>51</v>
      </c>
      <c r="F13" s="38">
        <v>0</v>
      </c>
      <c r="G13" s="38">
        <v>-0.72700931197491037</v>
      </c>
      <c r="H13" s="38">
        <v>-0.33648834088549762</v>
      </c>
    </row>
    <row r="14" spans="1:16" s="38" customFormat="1" x14ac:dyDescent="0.35">
      <c r="A14" s="38" t="s">
        <v>183</v>
      </c>
      <c r="B14" s="38">
        <v>-0.50867105772660759</v>
      </c>
      <c r="C14" s="38">
        <v>-0.52637954630752182</v>
      </c>
      <c r="D14" s="38">
        <v>0</v>
      </c>
      <c r="E14" s="38">
        <v>51</v>
      </c>
      <c r="F14" s="38">
        <v>0</v>
      </c>
      <c r="G14" s="38">
        <v>-0.71594195650160553</v>
      </c>
      <c r="H14" s="38">
        <v>-0.25379971252344868</v>
      </c>
    </row>
    <row r="15" spans="1:16" s="38" customFormat="1" x14ac:dyDescent="0.35"/>
    <row r="16" spans="1:16" s="38" customFormat="1" x14ac:dyDescent="0.35">
      <c r="A16" s="40" t="s">
        <v>197</v>
      </c>
    </row>
    <row r="17" spans="1:7" s="38" customFormat="1" x14ac:dyDescent="0.35">
      <c r="A17" s="39" t="s">
        <v>116</v>
      </c>
      <c r="B17" s="39" t="s">
        <v>119</v>
      </c>
      <c r="C17" s="39" t="s">
        <v>7</v>
      </c>
      <c r="D17" s="39"/>
      <c r="E17" s="39"/>
      <c r="F17" s="39"/>
      <c r="G17" s="39"/>
    </row>
    <row r="18" spans="1:7" s="38" customFormat="1" x14ac:dyDescent="0.35">
      <c r="A18" s="38" t="s">
        <v>27</v>
      </c>
      <c r="B18" s="38">
        <v>-0.33648834088549762</v>
      </c>
      <c r="C18" s="38" t="s">
        <v>128</v>
      </c>
    </row>
    <row r="19" spans="1:7" s="38" customFormat="1" x14ac:dyDescent="0.35">
      <c r="A19" s="38" t="s">
        <v>56</v>
      </c>
      <c r="B19" s="38">
        <v>-0.38116596703421202</v>
      </c>
      <c r="C19" s="38" t="s">
        <v>142</v>
      </c>
    </row>
    <row r="20" spans="1:7" s="38" customFormat="1" x14ac:dyDescent="0.35">
      <c r="A20" s="38" t="s">
        <v>29</v>
      </c>
      <c r="B20" s="38">
        <v>-0.41726141005971618</v>
      </c>
      <c r="C20" s="38" t="s">
        <v>129</v>
      </c>
    </row>
    <row r="21" spans="1:7" s="38" customFormat="1" x14ac:dyDescent="0.35">
      <c r="A21" s="38" t="s">
        <v>107</v>
      </c>
      <c r="B21" s="38">
        <v>-0.42447995249478332</v>
      </c>
      <c r="C21" s="38" t="s">
        <v>166</v>
      </c>
    </row>
    <row r="22" spans="1:7" s="38" customFormat="1" x14ac:dyDescent="0.35">
      <c r="A22" s="38" t="s">
        <v>37</v>
      </c>
      <c r="B22" s="38">
        <v>-0.4309666074648551</v>
      </c>
      <c r="C22" s="38" t="s">
        <v>133</v>
      </c>
    </row>
    <row r="23" spans="1:7" s="38" customFormat="1" x14ac:dyDescent="0.35"/>
    <row r="24" spans="1:7" s="38" customFormat="1" x14ac:dyDescent="0.35">
      <c r="A24" s="40" t="s">
        <v>198</v>
      </c>
    </row>
    <row r="25" spans="1:7" s="39" customFormat="1" x14ac:dyDescent="0.35">
      <c r="A25" s="39" t="s">
        <v>116</v>
      </c>
      <c r="B25" s="39" t="s">
        <v>119</v>
      </c>
      <c r="C25" s="39" t="s">
        <v>7</v>
      </c>
    </row>
    <row r="26" spans="1:7" s="38" customFormat="1" x14ac:dyDescent="0.35">
      <c r="A26" s="38" t="s">
        <v>73</v>
      </c>
      <c r="B26" s="38">
        <v>-0.25379971252344868</v>
      </c>
      <c r="C26" s="38" t="s">
        <v>187</v>
      </c>
    </row>
    <row r="27" spans="1:7" s="38" customFormat="1" x14ac:dyDescent="0.35">
      <c r="A27" s="38" t="s">
        <v>37</v>
      </c>
      <c r="B27" s="38">
        <v>-0.26766643427420977</v>
      </c>
      <c r="C27" s="38" t="s">
        <v>188</v>
      </c>
    </row>
    <row r="28" spans="1:7" s="38" customFormat="1" x14ac:dyDescent="0.35">
      <c r="A28" s="38" t="s">
        <v>97</v>
      </c>
      <c r="B28" s="38">
        <v>-0.26822728282447389</v>
      </c>
      <c r="C28" s="38" t="s">
        <v>189</v>
      </c>
    </row>
    <row r="29" spans="1:7" s="38" customFormat="1" x14ac:dyDescent="0.35">
      <c r="A29" s="38" t="s">
        <v>10</v>
      </c>
      <c r="B29" s="38">
        <v>-0.31495963653275227</v>
      </c>
      <c r="C29" s="38" t="s">
        <v>190</v>
      </c>
    </row>
    <row r="30" spans="1:7" s="38" customFormat="1" x14ac:dyDescent="0.35">
      <c r="A30" s="38" t="s">
        <v>46</v>
      </c>
      <c r="B30" s="38">
        <v>-0.35278667385133539</v>
      </c>
      <c r="C30" s="38" t="s">
        <v>191</v>
      </c>
    </row>
    <row r="31" spans="1:7" s="38" customFormat="1" x14ac:dyDescent="0.35">
      <c r="A31" s="40" t="s">
        <v>199</v>
      </c>
    </row>
    <row r="32" spans="1:7" s="38" customFormat="1" x14ac:dyDescent="0.35">
      <c r="A32" s="39" t="s">
        <v>116</v>
      </c>
      <c r="B32" s="39" t="s">
        <v>119</v>
      </c>
      <c r="C32" s="39" t="s">
        <v>7</v>
      </c>
      <c r="D32" s="39"/>
      <c r="E32" s="39"/>
      <c r="F32" s="39"/>
      <c r="G32" s="39"/>
    </row>
    <row r="33" spans="1:13" s="38" customFormat="1" x14ac:dyDescent="0.35">
      <c r="A33" s="38" t="s">
        <v>14</v>
      </c>
      <c r="B33" s="38">
        <v>-0.72700931197491037</v>
      </c>
      <c r="C33" s="38" t="s">
        <v>122</v>
      </c>
    </row>
    <row r="34" spans="1:13" s="38" customFormat="1" x14ac:dyDescent="0.35">
      <c r="A34" s="38" t="s">
        <v>81</v>
      </c>
      <c r="B34" s="38">
        <v>-0.68972945545910291</v>
      </c>
      <c r="C34" s="38" t="s">
        <v>154</v>
      </c>
    </row>
    <row r="35" spans="1:13" s="38" customFormat="1" x14ac:dyDescent="0.35">
      <c r="A35" s="38" t="s">
        <v>109</v>
      </c>
      <c r="B35" s="38">
        <v>-0.67748824827722243</v>
      </c>
      <c r="C35" s="38" t="s">
        <v>167</v>
      </c>
    </row>
    <row r="36" spans="1:13" s="38" customFormat="1" x14ac:dyDescent="0.35">
      <c r="A36" s="38" t="s">
        <v>110</v>
      </c>
      <c r="B36" s="38">
        <v>-0.66622743848435584</v>
      </c>
      <c r="C36" s="38" t="s">
        <v>168</v>
      </c>
    </row>
    <row r="37" spans="1:13" s="38" customFormat="1" x14ac:dyDescent="0.35">
      <c r="A37" s="38" t="s">
        <v>35</v>
      </c>
      <c r="B37" s="38">
        <v>-0.64153569924915266</v>
      </c>
      <c r="C37" s="38" t="s">
        <v>132</v>
      </c>
    </row>
    <row r="38" spans="1:13" s="38" customFormat="1" x14ac:dyDescent="0.35">
      <c r="A38" s="40" t="s">
        <v>200</v>
      </c>
    </row>
    <row r="39" spans="1:13" s="38" customFormat="1" x14ac:dyDescent="0.35">
      <c r="A39" s="39" t="s">
        <v>116</v>
      </c>
      <c r="B39" s="39" t="s">
        <v>119</v>
      </c>
      <c r="C39" s="39" t="s">
        <v>7</v>
      </c>
      <c r="D39" s="39"/>
      <c r="E39" s="39"/>
      <c r="F39" s="39"/>
      <c r="G39" s="39"/>
    </row>
    <row r="40" spans="1:13" s="38" customFormat="1" x14ac:dyDescent="0.35">
      <c r="A40" s="38" t="s">
        <v>29</v>
      </c>
      <c r="B40" s="38">
        <v>-0.71594195650160553</v>
      </c>
      <c r="C40" s="38" t="s">
        <v>196</v>
      </c>
    </row>
    <row r="41" spans="1:13" s="38" customFormat="1" x14ac:dyDescent="0.35">
      <c r="A41" s="38" t="s">
        <v>58</v>
      </c>
      <c r="B41" s="38">
        <v>-0.69051606296149393</v>
      </c>
      <c r="C41" s="38" t="s">
        <v>195</v>
      </c>
    </row>
    <row r="42" spans="1:13" s="38" customFormat="1" x14ac:dyDescent="0.35">
      <c r="A42" s="38" t="s">
        <v>81</v>
      </c>
      <c r="B42" s="38">
        <v>-0.65748853204300428</v>
      </c>
      <c r="C42" s="38" t="s">
        <v>194</v>
      </c>
    </row>
    <row r="43" spans="1:13" s="38" customFormat="1" x14ac:dyDescent="0.35">
      <c r="A43" s="38" t="s">
        <v>50</v>
      </c>
      <c r="B43" s="38">
        <v>-0.65280001686779621</v>
      </c>
      <c r="C43" s="38" t="s">
        <v>193</v>
      </c>
    </row>
    <row r="44" spans="1:13" s="38" customFormat="1" x14ac:dyDescent="0.35">
      <c r="A44" s="38" t="s">
        <v>14</v>
      </c>
      <c r="B44" s="38">
        <v>-0.65109550495106239</v>
      </c>
      <c r="C44" s="38" t="s">
        <v>192</v>
      </c>
    </row>
    <row r="46" spans="1:13" s="42" customFormat="1" x14ac:dyDescent="0.35">
      <c r="A46" s="44" t="s">
        <v>219</v>
      </c>
    </row>
    <row r="47" spans="1:13" s="43" customFormat="1" x14ac:dyDescent="0.35">
      <c r="A47" s="43" t="s">
        <v>232</v>
      </c>
      <c r="B47" s="43" t="s">
        <v>233</v>
      </c>
      <c r="C47" s="43" t="s">
        <v>234</v>
      </c>
      <c r="D47" s="43" t="s">
        <v>235</v>
      </c>
      <c r="E47" s="43" t="s">
        <v>181</v>
      </c>
      <c r="F47" s="43" t="s">
        <v>182</v>
      </c>
      <c r="G47" s="43" t="s">
        <v>236</v>
      </c>
      <c r="H47" s="43" t="s">
        <v>237</v>
      </c>
      <c r="I47" s="43" t="s">
        <v>238</v>
      </c>
      <c r="J47" s="43" t="s">
        <v>239</v>
      </c>
      <c r="K47" s="43" t="s">
        <v>240</v>
      </c>
      <c r="L47" s="43" t="s">
        <v>241</v>
      </c>
      <c r="M47" s="43" t="s">
        <v>222</v>
      </c>
    </row>
    <row r="48" spans="1:13" s="42" customFormat="1" x14ac:dyDescent="0.35">
      <c r="A48" s="42">
        <v>-0.14870649383031281</v>
      </c>
      <c r="B48" s="42">
        <v>-0.1462749717939911</v>
      </c>
      <c r="C48" s="42">
        <v>1.9732556808343051E-2</v>
      </c>
      <c r="D48" s="42">
        <v>3.8937379819448548E-4</v>
      </c>
      <c r="E48" s="42">
        <v>-0.19975358416726499</v>
      </c>
      <c r="F48" s="42">
        <v>-0.1041050488017609</v>
      </c>
      <c r="G48" s="42">
        <v>9.5648535365504134E-2</v>
      </c>
      <c r="H48" s="42">
        <v>51</v>
      </c>
      <c r="I48" s="42">
        <v>0</v>
      </c>
      <c r="J48" s="42">
        <v>0</v>
      </c>
      <c r="K48" s="42">
        <v>51</v>
      </c>
      <c r="L48" s="42">
        <v>0</v>
      </c>
      <c r="M48" s="42">
        <v>2020</v>
      </c>
    </row>
    <row r="49" spans="1:14" s="42" customFormat="1" x14ac:dyDescent="0.35">
      <c r="A49" s="42">
        <v>-5.5640805155356077E-2</v>
      </c>
      <c r="B49" s="42">
        <v>-6.5097569190880167E-2</v>
      </c>
      <c r="C49" s="42">
        <v>5.5122723429493613E-2</v>
      </c>
      <c r="D49" s="42">
        <v>3.0385146382844439E-3</v>
      </c>
      <c r="E49" s="42">
        <v>-0.18495410187308681</v>
      </c>
      <c r="F49" s="42">
        <v>4.4551725829405198E-2</v>
      </c>
      <c r="G49" s="42">
        <v>0.229505827702492</v>
      </c>
      <c r="H49" s="42">
        <v>51</v>
      </c>
      <c r="I49" s="42">
        <v>0</v>
      </c>
      <c r="J49" s="42">
        <v>0</v>
      </c>
      <c r="K49" s="42">
        <v>43</v>
      </c>
      <c r="L49" s="42">
        <v>8</v>
      </c>
      <c r="M49" s="42">
        <v>2021</v>
      </c>
    </row>
    <row r="51" spans="1:14" s="49" customFormat="1" x14ac:dyDescent="0.35">
      <c r="A51" s="51" t="s">
        <v>231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spans="1:14" s="50" customFormat="1" x14ac:dyDescent="0.35">
      <c r="A52" s="52" t="s">
        <v>222</v>
      </c>
      <c r="B52" s="52" t="s">
        <v>258</v>
      </c>
      <c r="C52" s="52" t="s">
        <v>259</v>
      </c>
      <c r="D52" s="52" t="s">
        <v>260</v>
      </c>
      <c r="E52" s="52" t="s">
        <v>261</v>
      </c>
      <c r="F52" s="52" t="s">
        <v>262</v>
      </c>
      <c r="G52" s="52" t="s">
        <v>263</v>
      </c>
      <c r="H52" s="52" t="s">
        <v>264</v>
      </c>
      <c r="I52" s="52" t="s">
        <v>265</v>
      </c>
      <c r="J52" s="52" t="s">
        <v>266</v>
      </c>
      <c r="K52" s="52" t="s">
        <v>267</v>
      </c>
      <c r="L52" s="52" t="s">
        <v>268</v>
      </c>
      <c r="M52" s="52"/>
      <c r="N52" s="52"/>
    </row>
    <row r="53" spans="1:14" s="49" customFormat="1" x14ac:dyDescent="0.35">
      <c r="A53" s="49">
        <v>2020</v>
      </c>
      <c r="B53" s="49">
        <v>-4.2473440274067978E-2</v>
      </c>
      <c r="C53" s="49">
        <v>-3.5743444965921002E-2</v>
      </c>
      <c r="D53" s="49">
        <v>2.2142430900953702E-2</v>
      </c>
      <c r="E53" s="49">
        <v>4.9028724620350935E-4</v>
      </c>
      <c r="F53" s="49">
        <v>-0.13684765800369761</v>
      </c>
      <c r="G53" s="49">
        <v>-1.8745822978261571E-2</v>
      </c>
      <c r="H53" s="49">
        <v>0.1181018350254361</v>
      </c>
      <c r="I53" s="49">
        <v>0</v>
      </c>
      <c r="J53" s="49">
        <v>51</v>
      </c>
      <c r="K53" s="49">
        <v>0</v>
      </c>
      <c r="L53" s="49">
        <v>51</v>
      </c>
    </row>
    <row r="54" spans="1:14" s="49" customFormat="1" x14ac:dyDescent="0.35">
      <c r="A54" s="49">
        <v>2021</v>
      </c>
      <c r="B54" s="49">
        <v>-2.204647363446734E-2</v>
      </c>
      <c r="C54" s="49">
        <v>-1.6698896108923458E-2</v>
      </c>
      <c r="D54" s="49">
        <v>3.4893820518038861E-2</v>
      </c>
      <c r="E54" s="49">
        <v>1.21757871034511E-3</v>
      </c>
      <c r="F54" s="49">
        <v>-0.1413994561036899</v>
      </c>
      <c r="G54" s="49">
        <v>2.273431169971776E-2</v>
      </c>
      <c r="H54" s="49">
        <v>0.16413376780340769</v>
      </c>
      <c r="I54" s="49">
        <v>8</v>
      </c>
      <c r="J54" s="49">
        <v>43</v>
      </c>
      <c r="K54" s="49">
        <v>0</v>
      </c>
      <c r="L54" s="4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Explanation</vt:lpstr>
      <vt:lpstr>1. Representation gap</vt:lpstr>
      <vt:lpstr>all</vt:lpstr>
      <vt:lpstr>2. Access gap</vt:lpstr>
      <vt:lpstr>3.Loan Size Gap</vt:lpstr>
      <vt:lpstr>4. Early Access Gap</vt:lpstr>
      <vt:lpstr>Summary_combined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Malhotra</dc:creator>
  <cp:lastModifiedBy>Shreya Malhotra</cp:lastModifiedBy>
  <dcterms:created xsi:type="dcterms:W3CDTF">2026-04-20T20:37:40Z</dcterms:created>
  <dcterms:modified xsi:type="dcterms:W3CDTF">2026-06-02T19:20:22Z</dcterms:modified>
</cp:coreProperties>
</file>